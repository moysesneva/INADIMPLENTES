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 defaultThemeVersion="202300"/>
  <mc:AlternateContent xmlns:mc="http://schemas.openxmlformats.org/markup-compatibility/2006">
    <mc:Choice Requires="x15">
      <x15ac:absPath xmlns:x15ac="http://schemas.microsoft.com/office/spreadsheetml/2010/11/ac" url="D:\ANTIGRAVITY_FIN\INADIMPLENTES\"/>
    </mc:Choice>
  </mc:AlternateContent>
  <xr:revisionPtr revIDLastSave="0" documentId="8_{9A9CAD51-A384-4328-A16B-540F55373546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elatório de Inadimplentes" sheetId="1" r:id="rId1"/>
  </sheets>
  <definedNames>
    <definedName name="_xlnm._FilterDatabase" localSheetId="0" hidden="1">'Relatório de Inadimplentes'!$A$2:$T$32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4" i="1" l="1"/>
  <c r="AK4" i="1"/>
  <c r="AJ5" i="1"/>
  <c r="AK5" i="1"/>
  <c r="AJ6" i="1"/>
  <c r="AK6" i="1"/>
  <c r="AJ7" i="1"/>
  <c r="AK7" i="1"/>
  <c r="AJ8" i="1"/>
  <c r="AK8" i="1"/>
  <c r="AJ9" i="1"/>
  <c r="AK9" i="1"/>
  <c r="AJ10" i="1"/>
  <c r="AK10" i="1"/>
  <c r="AJ11" i="1"/>
  <c r="AK11" i="1"/>
  <c r="AJ12" i="1"/>
  <c r="AK12" i="1"/>
  <c r="AJ13" i="1"/>
  <c r="AK13" i="1"/>
  <c r="AJ14" i="1"/>
  <c r="AK14" i="1"/>
  <c r="AJ15" i="1"/>
  <c r="AK15" i="1"/>
  <c r="AJ16" i="1"/>
  <c r="AK16" i="1"/>
  <c r="AJ17" i="1"/>
  <c r="AK17" i="1"/>
  <c r="AJ18" i="1"/>
  <c r="AK18" i="1"/>
  <c r="AJ19" i="1"/>
  <c r="AK19" i="1"/>
  <c r="AJ20" i="1"/>
  <c r="AK20" i="1"/>
  <c r="AJ21" i="1"/>
  <c r="AK21" i="1"/>
  <c r="AJ22" i="1"/>
  <c r="AK22" i="1"/>
  <c r="AJ23" i="1"/>
  <c r="AK23" i="1"/>
  <c r="AJ24" i="1"/>
  <c r="AK24" i="1"/>
  <c r="AJ25" i="1"/>
  <c r="AK25" i="1"/>
  <c r="AJ26" i="1"/>
  <c r="AK26" i="1"/>
  <c r="AJ27" i="1"/>
  <c r="AK27" i="1"/>
  <c r="AJ28" i="1"/>
  <c r="AK28" i="1"/>
  <c r="AJ29" i="1"/>
  <c r="AK29" i="1"/>
  <c r="AJ30" i="1"/>
  <c r="AK30" i="1"/>
  <c r="AJ31" i="1"/>
  <c r="AK31" i="1"/>
  <c r="AJ32" i="1"/>
  <c r="AK32" i="1"/>
  <c r="AJ33" i="1"/>
  <c r="AK33" i="1"/>
  <c r="AJ34" i="1"/>
  <c r="AK34" i="1"/>
  <c r="AJ35" i="1"/>
  <c r="AK35" i="1"/>
  <c r="AJ36" i="1"/>
  <c r="AK36" i="1"/>
  <c r="AJ37" i="1"/>
  <c r="AK37" i="1"/>
  <c r="AJ38" i="1"/>
  <c r="AK38" i="1"/>
  <c r="AJ39" i="1"/>
  <c r="AK39" i="1"/>
  <c r="AJ40" i="1"/>
  <c r="AK40" i="1"/>
  <c r="AJ41" i="1"/>
  <c r="AK41" i="1"/>
  <c r="AJ42" i="1"/>
  <c r="AK42" i="1"/>
  <c r="AJ43" i="1"/>
  <c r="AK43" i="1"/>
  <c r="AJ44" i="1"/>
  <c r="AK44" i="1"/>
  <c r="AJ45" i="1"/>
  <c r="AK45" i="1"/>
  <c r="AJ46" i="1"/>
  <c r="AK46" i="1"/>
  <c r="AJ47" i="1"/>
  <c r="AK47" i="1"/>
  <c r="AJ48" i="1"/>
  <c r="AK48" i="1"/>
  <c r="AJ49" i="1"/>
  <c r="AK49" i="1"/>
  <c r="AJ50" i="1"/>
  <c r="AK50" i="1"/>
  <c r="AJ51" i="1"/>
  <c r="AK51" i="1"/>
  <c r="AJ52" i="1"/>
  <c r="AK52" i="1"/>
  <c r="AJ53" i="1"/>
  <c r="AK53" i="1"/>
  <c r="AJ54" i="1"/>
  <c r="AK54" i="1"/>
  <c r="AJ55" i="1"/>
  <c r="AK55" i="1"/>
  <c r="AJ56" i="1"/>
  <c r="AK56" i="1"/>
  <c r="AJ57" i="1"/>
  <c r="AK57" i="1"/>
  <c r="AJ58" i="1"/>
  <c r="AK58" i="1"/>
  <c r="AJ59" i="1"/>
  <c r="AK59" i="1"/>
  <c r="AJ60" i="1"/>
  <c r="AK60" i="1"/>
  <c r="AJ61" i="1"/>
  <c r="AK61" i="1"/>
  <c r="AJ62" i="1"/>
  <c r="AK62" i="1"/>
  <c r="AJ63" i="1"/>
  <c r="AK63" i="1"/>
  <c r="AJ64" i="1"/>
  <c r="AK64" i="1"/>
  <c r="AJ65" i="1"/>
  <c r="AK65" i="1"/>
  <c r="AJ66" i="1"/>
  <c r="AK66" i="1"/>
  <c r="AJ67" i="1"/>
  <c r="AK67" i="1"/>
  <c r="AJ68" i="1"/>
  <c r="AK68" i="1"/>
  <c r="AJ69" i="1"/>
  <c r="AK69" i="1"/>
  <c r="AJ70" i="1"/>
  <c r="AK70" i="1"/>
  <c r="AJ71" i="1"/>
  <c r="AK71" i="1"/>
  <c r="AJ72" i="1"/>
  <c r="AK72" i="1"/>
  <c r="AJ73" i="1"/>
  <c r="AK73" i="1"/>
  <c r="AJ74" i="1"/>
  <c r="AK74" i="1"/>
  <c r="AJ75" i="1"/>
  <c r="AK75" i="1"/>
  <c r="AJ76" i="1"/>
  <c r="AK76" i="1"/>
  <c r="AJ77" i="1"/>
  <c r="AK77" i="1"/>
  <c r="AJ78" i="1"/>
  <c r="AK78" i="1"/>
  <c r="AJ79" i="1"/>
  <c r="AK79" i="1"/>
  <c r="AJ80" i="1"/>
  <c r="AK80" i="1"/>
  <c r="AJ81" i="1"/>
  <c r="AK81" i="1"/>
  <c r="AJ82" i="1"/>
  <c r="AK82" i="1"/>
  <c r="AJ83" i="1"/>
  <c r="AK83" i="1"/>
  <c r="AJ84" i="1"/>
  <c r="AK84" i="1"/>
  <c r="AJ85" i="1"/>
  <c r="AK85" i="1"/>
  <c r="AJ86" i="1"/>
  <c r="AK86" i="1"/>
  <c r="AJ87" i="1"/>
  <c r="AK87" i="1"/>
  <c r="AJ88" i="1"/>
  <c r="AK88" i="1"/>
  <c r="AJ89" i="1"/>
  <c r="AK89" i="1"/>
  <c r="AJ90" i="1"/>
  <c r="AK90" i="1"/>
  <c r="AJ91" i="1"/>
  <c r="AK91" i="1"/>
  <c r="AJ92" i="1"/>
  <c r="AK92" i="1"/>
  <c r="AJ93" i="1"/>
  <c r="AK93" i="1"/>
  <c r="AJ94" i="1"/>
  <c r="AK94" i="1"/>
  <c r="AJ95" i="1"/>
  <c r="AK95" i="1"/>
  <c r="AJ96" i="1"/>
  <c r="AK96" i="1"/>
  <c r="AJ97" i="1"/>
  <c r="AK97" i="1"/>
  <c r="AJ98" i="1"/>
  <c r="AK98" i="1"/>
  <c r="AJ99" i="1"/>
  <c r="AK99" i="1"/>
  <c r="AJ100" i="1"/>
  <c r="AK100" i="1"/>
  <c r="AJ101" i="1"/>
  <c r="AK101" i="1"/>
  <c r="AJ102" i="1"/>
  <c r="AK102" i="1"/>
  <c r="AJ103" i="1"/>
  <c r="AK103" i="1"/>
  <c r="AJ104" i="1"/>
  <c r="AK104" i="1"/>
  <c r="AJ105" i="1"/>
  <c r="AK105" i="1"/>
  <c r="AJ106" i="1"/>
  <c r="AK106" i="1"/>
  <c r="AJ107" i="1"/>
  <c r="AK107" i="1"/>
  <c r="AJ108" i="1"/>
  <c r="AK108" i="1"/>
  <c r="AJ109" i="1"/>
  <c r="AK109" i="1"/>
  <c r="AJ110" i="1"/>
  <c r="AK110" i="1"/>
  <c r="AJ111" i="1"/>
  <c r="AK111" i="1"/>
  <c r="AJ112" i="1"/>
  <c r="AK112" i="1"/>
  <c r="AJ113" i="1"/>
  <c r="AK113" i="1"/>
  <c r="AJ114" i="1"/>
  <c r="AK114" i="1"/>
  <c r="AJ115" i="1"/>
  <c r="AK115" i="1"/>
  <c r="AJ116" i="1"/>
  <c r="AK116" i="1"/>
  <c r="AM116" i="1" s="1"/>
  <c r="AL116" i="1"/>
  <c r="AN116" i="1" s="1"/>
  <c r="AO116" i="1" s="1"/>
  <c r="AJ117" i="1"/>
  <c r="AK117" i="1"/>
  <c r="AJ118" i="1"/>
  <c r="AK118" i="1"/>
  <c r="AJ119" i="1"/>
  <c r="AK119" i="1"/>
  <c r="AJ120" i="1"/>
  <c r="AK120" i="1"/>
  <c r="AJ121" i="1"/>
  <c r="AK121" i="1"/>
  <c r="AJ122" i="1"/>
  <c r="AK122" i="1"/>
  <c r="AJ123" i="1"/>
  <c r="AK123" i="1"/>
  <c r="AJ124" i="1"/>
  <c r="AK124" i="1"/>
  <c r="AJ125" i="1"/>
  <c r="AK125" i="1"/>
  <c r="AJ126" i="1"/>
  <c r="AK126" i="1"/>
  <c r="AJ127" i="1"/>
  <c r="AK127" i="1"/>
  <c r="AJ128" i="1"/>
  <c r="AK128" i="1"/>
  <c r="AJ129" i="1"/>
  <c r="AK129" i="1"/>
  <c r="AJ130" i="1"/>
  <c r="AK130" i="1"/>
  <c r="AJ131" i="1"/>
  <c r="AK131" i="1"/>
  <c r="AJ132" i="1"/>
  <c r="AK132" i="1"/>
  <c r="AJ133" i="1"/>
  <c r="AK133" i="1"/>
  <c r="AJ134" i="1"/>
  <c r="AK134" i="1"/>
  <c r="AJ135" i="1"/>
  <c r="AK135" i="1"/>
  <c r="AJ136" i="1"/>
  <c r="AK136" i="1"/>
  <c r="AJ137" i="1"/>
  <c r="AK137" i="1"/>
  <c r="AJ138" i="1"/>
  <c r="AK138" i="1"/>
  <c r="AJ139" i="1"/>
  <c r="AK139" i="1"/>
  <c r="AJ140" i="1"/>
  <c r="AK140" i="1"/>
  <c r="AJ141" i="1"/>
  <c r="AK141" i="1"/>
  <c r="AJ142" i="1"/>
  <c r="AK142" i="1"/>
  <c r="AJ143" i="1"/>
  <c r="AK143" i="1"/>
  <c r="AJ144" i="1"/>
  <c r="AK144" i="1"/>
  <c r="AJ145" i="1"/>
  <c r="AK145" i="1"/>
  <c r="AJ146" i="1"/>
  <c r="AK146" i="1"/>
  <c r="AJ147" i="1"/>
  <c r="AK147" i="1"/>
  <c r="AJ148" i="1"/>
  <c r="AK148" i="1"/>
  <c r="AJ149" i="1"/>
  <c r="AK149" i="1"/>
  <c r="AJ150" i="1"/>
  <c r="AK150" i="1"/>
  <c r="AJ151" i="1"/>
  <c r="AK151" i="1"/>
  <c r="AJ152" i="1"/>
  <c r="AK152" i="1"/>
  <c r="AJ153" i="1"/>
  <c r="AK153" i="1"/>
  <c r="AJ154" i="1"/>
  <c r="AK154" i="1"/>
  <c r="AJ155" i="1"/>
  <c r="AK155" i="1"/>
  <c r="AJ156" i="1"/>
  <c r="AK156" i="1"/>
  <c r="AJ157" i="1"/>
  <c r="AK157" i="1"/>
  <c r="AJ158" i="1"/>
  <c r="AK158" i="1"/>
  <c r="AJ159" i="1"/>
  <c r="AK159" i="1"/>
  <c r="AJ160" i="1"/>
  <c r="AK160" i="1"/>
  <c r="AJ161" i="1"/>
  <c r="AK161" i="1"/>
  <c r="AJ162" i="1"/>
  <c r="AK162" i="1"/>
  <c r="AJ163" i="1"/>
  <c r="AK163" i="1"/>
  <c r="AJ164" i="1"/>
  <c r="AK164" i="1"/>
  <c r="AJ165" i="1"/>
  <c r="AK165" i="1"/>
  <c r="AJ166" i="1"/>
  <c r="AK166" i="1"/>
  <c r="AJ167" i="1"/>
  <c r="AK167" i="1"/>
  <c r="AJ168" i="1"/>
  <c r="AK168" i="1"/>
  <c r="AJ169" i="1"/>
  <c r="AK169" i="1"/>
  <c r="AJ170" i="1"/>
  <c r="AK170" i="1"/>
  <c r="AJ171" i="1"/>
  <c r="AK171" i="1"/>
  <c r="AJ172" i="1"/>
  <c r="AK172" i="1"/>
  <c r="AJ173" i="1"/>
  <c r="AK173" i="1"/>
  <c r="AJ174" i="1"/>
  <c r="AK174" i="1"/>
  <c r="AJ175" i="1"/>
  <c r="AK175" i="1"/>
  <c r="AJ176" i="1"/>
  <c r="AK176" i="1"/>
  <c r="AJ177" i="1"/>
  <c r="AK177" i="1"/>
  <c r="AJ178" i="1"/>
  <c r="AK178" i="1"/>
  <c r="AJ179" i="1"/>
  <c r="AK179" i="1"/>
  <c r="AJ180" i="1"/>
  <c r="AK180" i="1"/>
  <c r="AJ181" i="1"/>
  <c r="AK181" i="1"/>
  <c r="AJ182" i="1"/>
  <c r="AK182" i="1"/>
  <c r="AJ183" i="1"/>
  <c r="AK183" i="1"/>
  <c r="AJ184" i="1"/>
  <c r="AK184" i="1"/>
  <c r="AJ185" i="1"/>
  <c r="AK185" i="1"/>
  <c r="AJ186" i="1"/>
  <c r="AK186" i="1"/>
  <c r="AJ187" i="1"/>
  <c r="AK187" i="1"/>
  <c r="AJ188" i="1"/>
  <c r="AK188" i="1"/>
  <c r="AJ189" i="1"/>
  <c r="AK189" i="1"/>
  <c r="AJ190" i="1"/>
  <c r="AK190" i="1"/>
  <c r="AJ191" i="1"/>
  <c r="AK191" i="1"/>
  <c r="AJ192" i="1"/>
  <c r="AK192" i="1"/>
  <c r="AJ193" i="1"/>
  <c r="AK193" i="1"/>
  <c r="AJ194" i="1"/>
  <c r="AK194" i="1"/>
  <c r="AJ195" i="1"/>
  <c r="AK195" i="1"/>
  <c r="AJ196" i="1"/>
  <c r="AK196" i="1"/>
  <c r="AJ197" i="1"/>
  <c r="AK197" i="1"/>
  <c r="AJ198" i="1"/>
  <c r="AK198" i="1"/>
  <c r="AJ199" i="1"/>
  <c r="AK199" i="1"/>
  <c r="AJ200" i="1"/>
  <c r="AK200" i="1"/>
  <c r="AJ201" i="1"/>
  <c r="AK201" i="1"/>
  <c r="AJ202" i="1"/>
  <c r="AK202" i="1"/>
  <c r="AJ203" i="1"/>
  <c r="AK203" i="1"/>
  <c r="AJ204" i="1"/>
  <c r="AK204" i="1"/>
  <c r="AJ205" i="1"/>
  <c r="AK205" i="1"/>
  <c r="AJ206" i="1"/>
  <c r="AK206" i="1"/>
  <c r="AJ207" i="1"/>
  <c r="AK207" i="1"/>
  <c r="AJ3" i="1"/>
  <c r="R5" i="1"/>
  <c r="AD5" i="1" s="1"/>
  <c r="R6" i="1"/>
  <c r="AD6" i="1" s="1"/>
  <c r="R7" i="1"/>
  <c r="AD7" i="1" s="1"/>
  <c r="R8" i="1"/>
  <c r="AD8" i="1" s="1"/>
  <c r="R9" i="1"/>
  <c r="AD9" i="1" s="1"/>
  <c r="R10" i="1"/>
  <c r="AD10" i="1" s="1"/>
  <c r="R11" i="1"/>
  <c r="AD11" i="1" s="1"/>
  <c r="R12" i="1"/>
  <c r="AD12" i="1" s="1"/>
  <c r="R13" i="1"/>
  <c r="AD13" i="1" s="1"/>
  <c r="R14" i="1"/>
  <c r="AD14" i="1" s="1"/>
  <c r="R15" i="1"/>
  <c r="AD15" i="1" s="1"/>
  <c r="R16" i="1"/>
  <c r="AD16" i="1" s="1"/>
  <c r="R17" i="1"/>
  <c r="AD17" i="1" s="1"/>
  <c r="R18" i="1"/>
  <c r="AD18" i="1" s="1"/>
  <c r="R19" i="1"/>
  <c r="AD19" i="1" s="1"/>
  <c r="R20" i="1"/>
  <c r="AD20" i="1" s="1"/>
  <c r="R21" i="1"/>
  <c r="AD21" i="1" s="1"/>
  <c r="R22" i="1"/>
  <c r="AD22" i="1" s="1"/>
  <c r="R23" i="1"/>
  <c r="AD23" i="1" s="1"/>
  <c r="R24" i="1"/>
  <c r="AD24" i="1" s="1"/>
  <c r="R25" i="1"/>
  <c r="AD25" i="1" s="1"/>
  <c r="R26" i="1"/>
  <c r="AD26" i="1" s="1"/>
  <c r="R27" i="1"/>
  <c r="AD27" i="1" s="1"/>
  <c r="R28" i="1"/>
  <c r="AD28" i="1" s="1"/>
  <c r="R29" i="1"/>
  <c r="AD29" i="1" s="1"/>
  <c r="R30" i="1"/>
  <c r="AD30" i="1" s="1"/>
  <c r="R31" i="1"/>
  <c r="AD31" i="1" s="1"/>
  <c r="R32" i="1"/>
  <c r="AD32" i="1" s="1"/>
  <c r="R33" i="1"/>
  <c r="AD33" i="1" s="1"/>
  <c r="R34" i="1"/>
  <c r="AD34" i="1" s="1"/>
  <c r="R35" i="1"/>
  <c r="AD35" i="1" s="1"/>
  <c r="R36" i="1"/>
  <c r="AD36" i="1" s="1"/>
  <c r="R37" i="1"/>
  <c r="AD37" i="1" s="1"/>
  <c r="R38" i="1"/>
  <c r="AD38" i="1" s="1"/>
  <c r="R39" i="1"/>
  <c r="AD39" i="1" s="1"/>
  <c r="R40" i="1"/>
  <c r="AD40" i="1" s="1"/>
  <c r="R41" i="1"/>
  <c r="AD41" i="1" s="1"/>
  <c r="R42" i="1"/>
  <c r="AD42" i="1" s="1"/>
  <c r="R43" i="1"/>
  <c r="AD43" i="1" s="1"/>
  <c r="R44" i="1"/>
  <c r="AD44" i="1" s="1"/>
  <c r="R45" i="1"/>
  <c r="AD45" i="1" s="1"/>
  <c r="R46" i="1"/>
  <c r="AD46" i="1" s="1"/>
  <c r="R47" i="1"/>
  <c r="AD47" i="1" s="1"/>
  <c r="R48" i="1"/>
  <c r="AD48" i="1" s="1"/>
  <c r="R49" i="1"/>
  <c r="AD49" i="1" s="1"/>
  <c r="R50" i="1"/>
  <c r="AD50" i="1" s="1"/>
  <c r="R51" i="1"/>
  <c r="AD51" i="1" s="1"/>
  <c r="R52" i="1"/>
  <c r="AD52" i="1" s="1"/>
  <c r="R53" i="1"/>
  <c r="AD53" i="1" s="1"/>
  <c r="R54" i="1"/>
  <c r="AD54" i="1" s="1"/>
  <c r="R55" i="1"/>
  <c r="AD55" i="1" s="1"/>
  <c r="R56" i="1"/>
  <c r="AD56" i="1" s="1"/>
  <c r="R57" i="1"/>
  <c r="AD57" i="1" s="1"/>
  <c r="R58" i="1"/>
  <c r="AD58" i="1" s="1"/>
  <c r="R59" i="1"/>
  <c r="AD59" i="1" s="1"/>
  <c r="R60" i="1"/>
  <c r="AD60" i="1" s="1"/>
  <c r="R61" i="1"/>
  <c r="AD61" i="1" s="1"/>
  <c r="R62" i="1"/>
  <c r="AD62" i="1" s="1"/>
  <c r="R63" i="1"/>
  <c r="AD63" i="1" s="1"/>
  <c r="R64" i="1"/>
  <c r="AD64" i="1" s="1"/>
  <c r="R65" i="1"/>
  <c r="AD65" i="1" s="1"/>
  <c r="R66" i="1"/>
  <c r="AD66" i="1" s="1"/>
  <c r="R67" i="1"/>
  <c r="AD67" i="1" s="1"/>
  <c r="R68" i="1"/>
  <c r="AD68" i="1" s="1"/>
  <c r="R69" i="1"/>
  <c r="AD69" i="1" s="1"/>
  <c r="R70" i="1"/>
  <c r="AD70" i="1" s="1"/>
  <c r="R71" i="1"/>
  <c r="AD71" i="1" s="1"/>
  <c r="R72" i="1"/>
  <c r="AD72" i="1" s="1"/>
  <c r="R73" i="1"/>
  <c r="AD73" i="1" s="1"/>
  <c r="R74" i="1"/>
  <c r="AD74" i="1" s="1"/>
  <c r="R75" i="1"/>
  <c r="AD75" i="1" s="1"/>
  <c r="R76" i="1"/>
  <c r="AD76" i="1" s="1"/>
  <c r="R77" i="1"/>
  <c r="AD77" i="1" s="1"/>
  <c r="R78" i="1"/>
  <c r="AD78" i="1" s="1"/>
  <c r="R79" i="1"/>
  <c r="AD79" i="1" s="1"/>
  <c r="R80" i="1"/>
  <c r="AD80" i="1" s="1"/>
  <c r="R81" i="1"/>
  <c r="AD81" i="1" s="1"/>
  <c r="R82" i="1"/>
  <c r="AD82" i="1" s="1"/>
  <c r="R83" i="1"/>
  <c r="AD83" i="1" s="1"/>
  <c r="R84" i="1"/>
  <c r="AD84" i="1" s="1"/>
  <c r="R85" i="1"/>
  <c r="AD85" i="1" s="1"/>
  <c r="R86" i="1"/>
  <c r="AD86" i="1" s="1"/>
  <c r="R87" i="1"/>
  <c r="AD87" i="1" s="1"/>
  <c r="R88" i="1"/>
  <c r="AD88" i="1" s="1"/>
  <c r="R89" i="1"/>
  <c r="AD89" i="1" s="1"/>
  <c r="R90" i="1"/>
  <c r="AD90" i="1" s="1"/>
  <c r="R91" i="1"/>
  <c r="AD91" i="1" s="1"/>
  <c r="R92" i="1"/>
  <c r="AD92" i="1" s="1"/>
  <c r="R93" i="1"/>
  <c r="AD93" i="1" s="1"/>
  <c r="R94" i="1"/>
  <c r="AD94" i="1" s="1"/>
  <c r="R95" i="1"/>
  <c r="AD95" i="1" s="1"/>
  <c r="R96" i="1"/>
  <c r="AD96" i="1" s="1"/>
  <c r="R97" i="1"/>
  <c r="AD97" i="1" s="1"/>
  <c r="R98" i="1"/>
  <c r="AD98" i="1" s="1"/>
  <c r="R99" i="1"/>
  <c r="AD99" i="1" s="1"/>
  <c r="R100" i="1"/>
  <c r="AD100" i="1" s="1"/>
  <c r="R101" i="1"/>
  <c r="AD101" i="1" s="1"/>
  <c r="R102" i="1"/>
  <c r="AD102" i="1" s="1"/>
  <c r="R103" i="1"/>
  <c r="AD103" i="1" s="1"/>
  <c r="R104" i="1"/>
  <c r="AD104" i="1" s="1"/>
  <c r="R105" i="1"/>
  <c r="AD105" i="1" s="1"/>
  <c r="R106" i="1"/>
  <c r="AD106" i="1" s="1"/>
  <c r="R107" i="1"/>
  <c r="AD107" i="1" s="1"/>
  <c r="R108" i="1"/>
  <c r="AD108" i="1" s="1"/>
  <c r="R109" i="1"/>
  <c r="AD109" i="1" s="1"/>
  <c r="R110" i="1"/>
  <c r="AD110" i="1" s="1"/>
  <c r="R111" i="1"/>
  <c r="AD111" i="1" s="1"/>
  <c r="R112" i="1"/>
  <c r="AD112" i="1" s="1"/>
  <c r="R113" i="1"/>
  <c r="AD113" i="1" s="1"/>
  <c r="R114" i="1"/>
  <c r="AD114" i="1" s="1"/>
  <c r="R115" i="1"/>
  <c r="AD115" i="1" s="1"/>
  <c r="R116" i="1"/>
  <c r="AD116" i="1" s="1"/>
  <c r="R117" i="1"/>
  <c r="AD117" i="1" s="1"/>
  <c r="R118" i="1"/>
  <c r="AD118" i="1" s="1"/>
  <c r="R119" i="1"/>
  <c r="AD119" i="1" s="1"/>
  <c r="R120" i="1"/>
  <c r="AD120" i="1" s="1"/>
  <c r="R121" i="1"/>
  <c r="AD121" i="1" s="1"/>
  <c r="R122" i="1"/>
  <c r="AD122" i="1" s="1"/>
  <c r="R123" i="1"/>
  <c r="AD123" i="1" s="1"/>
  <c r="R124" i="1"/>
  <c r="AD124" i="1" s="1"/>
  <c r="R125" i="1"/>
  <c r="AD125" i="1" s="1"/>
  <c r="R126" i="1"/>
  <c r="AD126" i="1" s="1"/>
  <c r="R127" i="1"/>
  <c r="AD127" i="1" s="1"/>
  <c r="R128" i="1"/>
  <c r="AD128" i="1" s="1"/>
  <c r="R129" i="1"/>
  <c r="AD129" i="1" s="1"/>
  <c r="R130" i="1"/>
  <c r="AD130" i="1" s="1"/>
  <c r="R131" i="1"/>
  <c r="AD131" i="1" s="1"/>
  <c r="R132" i="1"/>
  <c r="AD132" i="1" s="1"/>
  <c r="R133" i="1"/>
  <c r="AD133" i="1" s="1"/>
  <c r="R134" i="1"/>
  <c r="AD134" i="1" s="1"/>
  <c r="R135" i="1"/>
  <c r="AD135" i="1" s="1"/>
  <c r="R136" i="1"/>
  <c r="AD136" i="1" s="1"/>
  <c r="R137" i="1"/>
  <c r="AD137" i="1" s="1"/>
  <c r="R138" i="1"/>
  <c r="AD138" i="1" s="1"/>
  <c r="R139" i="1"/>
  <c r="AD139" i="1" s="1"/>
  <c r="R140" i="1"/>
  <c r="AD140" i="1" s="1"/>
  <c r="R141" i="1"/>
  <c r="AD141" i="1" s="1"/>
  <c r="R142" i="1"/>
  <c r="AD142" i="1" s="1"/>
  <c r="R143" i="1"/>
  <c r="AD143" i="1" s="1"/>
  <c r="R144" i="1"/>
  <c r="AD144" i="1" s="1"/>
  <c r="R145" i="1"/>
  <c r="AD145" i="1" s="1"/>
  <c r="R146" i="1"/>
  <c r="AD146" i="1" s="1"/>
  <c r="R147" i="1"/>
  <c r="AD147" i="1" s="1"/>
  <c r="R148" i="1"/>
  <c r="AD148" i="1" s="1"/>
  <c r="R149" i="1"/>
  <c r="AD149" i="1" s="1"/>
  <c r="R150" i="1"/>
  <c r="AD150" i="1" s="1"/>
  <c r="R151" i="1"/>
  <c r="AD151" i="1" s="1"/>
  <c r="R152" i="1"/>
  <c r="AD152" i="1" s="1"/>
  <c r="R153" i="1"/>
  <c r="AD153" i="1" s="1"/>
  <c r="R154" i="1"/>
  <c r="AD154" i="1" s="1"/>
  <c r="R155" i="1"/>
  <c r="AD155" i="1" s="1"/>
  <c r="R156" i="1"/>
  <c r="AD156" i="1" s="1"/>
  <c r="R157" i="1"/>
  <c r="AD157" i="1" s="1"/>
  <c r="R158" i="1"/>
  <c r="AD158" i="1" s="1"/>
  <c r="R159" i="1"/>
  <c r="AD159" i="1" s="1"/>
  <c r="R160" i="1"/>
  <c r="AD160" i="1" s="1"/>
  <c r="R161" i="1"/>
  <c r="AD161" i="1" s="1"/>
  <c r="R162" i="1"/>
  <c r="AD162" i="1" s="1"/>
  <c r="R163" i="1"/>
  <c r="AD163" i="1" s="1"/>
  <c r="R164" i="1"/>
  <c r="AD164" i="1" s="1"/>
  <c r="R165" i="1"/>
  <c r="AD165" i="1" s="1"/>
  <c r="R166" i="1"/>
  <c r="AD166" i="1" s="1"/>
  <c r="R167" i="1"/>
  <c r="AD167" i="1" s="1"/>
  <c r="R168" i="1"/>
  <c r="AD168" i="1" s="1"/>
  <c r="R169" i="1"/>
  <c r="AD169" i="1" s="1"/>
  <c r="R170" i="1"/>
  <c r="AD170" i="1" s="1"/>
  <c r="R171" i="1"/>
  <c r="AD171" i="1" s="1"/>
  <c r="R172" i="1"/>
  <c r="AD172" i="1" s="1"/>
  <c r="R173" i="1"/>
  <c r="AD173" i="1" s="1"/>
  <c r="R174" i="1"/>
  <c r="AD174" i="1" s="1"/>
  <c r="R175" i="1"/>
  <c r="AD175" i="1" s="1"/>
  <c r="R176" i="1"/>
  <c r="AD176" i="1" s="1"/>
  <c r="R177" i="1"/>
  <c r="AD177" i="1" s="1"/>
  <c r="R178" i="1"/>
  <c r="AD178" i="1" s="1"/>
  <c r="R179" i="1"/>
  <c r="AD179" i="1" s="1"/>
  <c r="R180" i="1"/>
  <c r="AD180" i="1" s="1"/>
  <c r="R181" i="1"/>
  <c r="AD181" i="1" s="1"/>
  <c r="R182" i="1"/>
  <c r="AD182" i="1" s="1"/>
  <c r="R183" i="1"/>
  <c r="AD183" i="1" s="1"/>
  <c r="R184" i="1"/>
  <c r="AD184" i="1" s="1"/>
  <c r="R185" i="1"/>
  <c r="AD185" i="1" s="1"/>
  <c r="R186" i="1"/>
  <c r="AD186" i="1" s="1"/>
  <c r="R187" i="1"/>
  <c r="AD187" i="1" s="1"/>
  <c r="R188" i="1"/>
  <c r="AD188" i="1" s="1"/>
  <c r="R189" i="1"/>
  <c r="AD189" i="1" s="1"/>
  <c r="R190" i="1"/>
  <c r="AD190" i="1" s="1"/>
  <c r="R191" i="1"/>
  <c r="AD191" i="1" s="1"/>
  <c r="R192" i="1"/>
  <c r="AD192" i="1" s="1"/>
  <c r="R193" i="1"/>
  <c r="AD193" i="1" s="1"/>
  <c r="R194" i="1"/>
  <c r="AD194" i="1" s="1"/>
  <c r="R195" i="1"/>
  <c r="AD195" i="1" s="1"/>
  <c r="R196" i="1"/>
  <c r="AD196" i="1" s="1"/>
  <c r="R197" i="1"/>
  <c r="AD197" i="1" s="1"/>
  <c r="R198" i="1"/>
  <c r="AD198" i="1" s="1"/>
  <c r="R199" i="1"/>
  <c r="AD199" i="1" s="1"/>
  <c r="R200" i="1"/>
  <c r="AD200" i="1" s="1"/>
  <c r="R201" i="1"/>
  <c r="AD201" i="1" s="1"/>
  <c r="R202" i="1"/>
  <c r="AD202" i="1" s="1"/>
  <c r="R203" i="1"/>
  <c r="AD203" i="1" s="1"/>
  <c r="R204" i="1"/>
  <c r="AD204" i="1" s="1"/>
  <c r="R205" i="1"/>
  <c r="AD205" i="1" s="1"/>
  <c r="R206" i="1"/>
  <c r="AD206" i="1" s="1"/>
  <c r="R207" i="1"/>
  <c r="AD207" i="1" s="1"/>
  <c r="R4" i="1"/>
  <c r="AD4" i="1" s="1"/>
  <c r="R3" i="1"/>
  <c r="AD3" i="1" s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4" i="1"/>
  <c r="AC5" i="1"/>
  <c r="AC6" i="1"/>
  <c r="AC7" i="1"/>
  <c r="AC8" i="1"/>
  <c r="AC9" i="1"/>
  <c r="AC10" i="1"/>
  <c r="AC11" i="1"/>
  <c r="AC3" i="1"/>
  <c r="V3" i="1"/>
  <c r="W3" i="1" s="1"/>
  <c r="X3" i="1" s="1"/>
  <c r="U4" i="1"/>
  <c r="AM4" i="1" s="1"/>
  <c r="U5" i="1"/>
  <c r="U6" i="1"/>
  <c r="AM6" i="1" s="1"/>
  <c r="U7" i="1"/>
  <c r="U8" i="1"/>
  <c r="AM8" i="1" s="1"/>
  <c r="U9" i="1"/>
  <c r="U10" i="1"/>
  <c r="AM10" i="1" s="1"/>
  <c r="U11" i="1"/>
  <c r="U12" i="1"/>
  <c r="AM12" i="1" s="1"/>
  <c r="U13" i="1"/>
  <c r="U14" i="1"/>
  <c r="AM14" i="1" s="1"/>
  <c r="U15" i="1"/>
  <c r="U16" i="1"/>
  <c r="AM16" i="1" s="1"/>
  <c r="U17" i="1"/>
  <c r="U18" i="1"/>
  <c r="AM18" i="1" s="1"/>
  <c r="U19" i="1"/>
  <c r="U20" i="1"/>
  <c r="AM20" i="1" s="1"/>
  <c r="U21" i="1"/>
  <c r="U22" i="1"/>
  <c r="AM22" i="1" s="1"/>
  <c r="U23" i="1"/>
  <c r="U24" i="1"/>
  <c r="AM24" i="1" s="1"/>
  <c r="U25" i="1"/>
  <c r="U26" i="1"/>
  <c r="AM26" i="1" s="1"/>
  <c r="U27" i="1"/>
  <c r="U28" i="1"/>
  <c r="AM28" i="1" s="1"/>
  <c r="U29" i="1"/>
  <c r="U30" i="1"/>
  <c r="AM30" i="1" s="1"/>
  <c r="U31" i="1"/>
  <c r="U32" i="1"/>
  <c r="AM32" i="1" s="1"/>
  <c r="U33" i="1"/>
  <c r="U34" i="1"/>
  <c r="AM34" i="1" s="1"/>
  <c r="U35" i="1"/>
  <c r="U36" i="1"/>
  <c r="U37" i="1"/>
  <c r="U38" i="1"/>
  <c r="U39" i="1"/>
  <c r="U40" i="1"/>
  <c r="AM40" i="1" s="1"/>
  <c r="U41" i="1"/>
  <c r="U42" i="1"/>
  <c r="AM42" i="1" s="1"/>
  <c r="U43" i="1"/>
  <c r="U44" i="1"/>
  <c r="AM44" i="1" s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AL61" i="1" s="1"/>
  <c r="AN61" i="1" s="1"/>
  <c r="AO61" i="1" s="1"/>
  <c r="U62" i="1"/>
  <c r="U63" i="1"/>
  <c r="AL63" i="1" s="1"/>
  <c r="AN63" i="1" s="1"/>
  <c r="AO63" i="1" s="1"/>
  <c r="U64" i="1"/>
  <c r="U65" i="1"/>
  <c r="AL65" i="1" s="1"/>
  <c r="AN65" i="1" s="1"/>
  <c r="AO65" i="1" s="1"/>
  <c r="U66" i="1"/>
  <c r="U67" i="1"/>
  <c r="AL67" i="1" s="1"/>
  <c r="AN67" i="1" s="1"/>
  <c r="AO67" i="1" s="1"/>
  <c r="U68" i="1"/>
  <c r="U69" i="1"/>
  <c r="AL69" i="1" s="1"/>
  <c r="AN69" i="1" s="1"/>
  <c r="AO69" i="1" s="1"/>
  <c r="U70" i="1"/>
  <c r="U71" i="1"/>
  <c r="AL71" i="1" s="1"/>
  <c r="AN71" i="1" s="1"/>
  <c r="AO71" i="1" s="1"/>
  <c r="U72" i="1"/>
  <c r="U73" i="1"/>
  <c r="AL73" i="1" s="1"/>
  <c r="AN73" i="1" s="1"/>
  <c r="AO73" i="1" s="1"/>
  <c r="U74" i="1"/>
  <c r="U75" i="1"/>
  <c r="AL75" i="1" s="1"/>
  <c r="AN75" i="1" s="1"/>
  <c r="AO75" i="1" s="1"/>
  <c r="U76" i="1"/>
  <c r="U77" i="1"/>
  <c r="AL77" i="1" s="1"/>
  <c r="AN77" i="1" s="1"/>
  <c r="AO77" i="1" s="1"/>
  <c r="U78" i="1"/>
  <c r="U79" i="1"/>
  <c r="U80" i="1"/>
  <c r="U81" i="1"/>
  <c r="AL81" i="1" s="1"/>
  <c r="AN81" i="1" s="1"/>
  <c r="AO81" i="1" s="1"/>
  <c r="U82" i="1"/>
  <c r="U83" i="1"/>
  <c r="AL83" i="1" s="1"/>
  <c r="U84" i="1"/>
  <c r="U85" i="1"/>
  <c r="AL85" i="1" s="1"/>
  <c r="U86" i="1"/>
  <c r="U87" i="1"/>
  <c r="U88" i="1"/>
  <c r="U89" i="1"/>
  <c r="U90" i="1"/>
  <c r="AL90" i="1" s="1"/>
  <c r="AN90" i="1" s="1"/>
  <c r="AO90" i="1" s="1"/>
  <c r="U91" i="1"/>
  <c r="U92" i="1"/>
  <c r="AL92" i="1" s="1"/>
  <c r="AN92" i="1" s="1"/>
  <c r="AO92" i="1" s="1"/>
  <c r="U93" i="1"/>
  <c r="U94" i="1"/>
  <c r="AL94" i="1" s="1"/>
  <c r="AN94" i="1" s="1"/>
  <c r="AO94" i="1" s="1"/>
  <c r="U95" i="1"/>
  <c r="U96" i="1"/>
  <c r="AL96" i="1" s="1"/>
  <c r="AN96" i="1" s="1"/>
  <c r="AO96" i="1" s="1"/>
  <c r="U97" i="1"/>
  <c r="AL97" i="1" s="1"/>
  <c r="AN97" i="1" s="1"/>
  <c r="AO97" i="1" s="1"/>
  <c r="U98" i="1"/>
  <c r="AL98" i="1" s="1"/>
  <c r="AN98" i="1" s="1"/>
  <c r="AO98" i="1" s="1"/>
  <c r="U99" i="1"/>
  <c r="U100" i="1"/>
  <c r="AL100" i="1" s="1"/>
  <c r="AN100" i="1" s="1"/>
  <c r="AO100" i="1" s="1"/>
  <c r="U101" i="1"/>
  <c r="U102" i="1"/>
  <c r="AL102" i="1" s="1"/>
  <c r="AN102" i="1" s="1"/>
  <c r="AO102" i="1" s="1"/>
  <c r="U103" i="1"/>
  <c r="U104" i="1"/>
  <c r="AL104" i="1" s="1"/>
  <c r="AN104" i="1" s="1"/>
  <c r="AO104" i="1" s="1"/>
  <c r="U105" i="1"/>
  <c r="U106" i="1"/>
  <c r="AL106" i="1" s="1"/>
  <c r="AN106" i="1" s="1"/>
  <c r="AO106" i="1" s="1"/>
  <c r="U107" i="1"/>
  <c r="U108" i="1"/>
  <c r="AL108" i="1" s="1"/>
  <c r="AN108" i="1" s="1"/>
  <c r="AO108" i="1" s="1"/>
  <c r="U109" i="1"/>
  <c r="U110" i="1"/>
  <c r="AL110" i="1" s="1"/>
  <c r="AN110" i="1" s="1"/>
  <c r="AO110" i="1" s="1"/>
  <c r="U111" i="1"/>
  <c r="U112" i="1"/>
  <c r="AL112" i="1" s="1"/>
  <c r="AN112" i="1" s="1"/>
  <c r="AO112" i="1" s="1"/>
  <c r="U113" i="1"/>
  <c r="AL113" i="1" s="1"/>
  <c r="AN113" i="1" s="1"/>
  <c r="AO113" i="1" s="1"/>
  <c r="U114" i="1"/>
  <c r="AL114" i="1" s="1"/>
  <c r="AN114" i="1" s="1"/>
  <c r="AO114" i="1" s="1"/>
  <c r="U115" i="1"/>
  <c r="V116" i="1"/>
  <c r="W116" i="1" s="1"/>
  <c r="X116" i="1" s="1"/>
  <c r="U117" i="1"/>
  <c r="AL117" i="1" s="1"/>
  <c r="AN117" i="1" s="1"/>
  <c r="AO117" i="1" s="1"/>
  <c r="U118" i="1"/>
  <c r="V118" i="1" s="1"/>
  <c r="W118" i="1" s="1"/>
  <c r="X118" i="1" s="1"/>
  <c r="U119" i="1"/>
  <c r="U120" i="1"/>
  <c r="V120" i="1" s="1"/>
  <c r="W120" i="1" s="1"/>
  <c r="X120" i="1" s="1"/>
  <c r="U121" i="1"/>
  <c r="U122" i="1"/>
  <c r="U123" i="1"/>
  <c r="U124" i="1"/>
  <c r="V124" i="1" s="1"/>
  <c r="W124" i="1" s="1"/>
  <c r="X124" i="1" s="1"/>
  <c r="U125" i="1"/>
  <c r="U126" i="1"/>
  <c r="U127" i="1"/>
  <c r="AL127" i="1" s="1"/>
  <c r="AN127" i="1" s="1"/>
  <c r="AO127" i="1" s="1"/>
  <c r="U128" i="1"/>
  <c r="U129" i="1"/>
  <c r="U130" i="1"/>
  <c r="U131" i="1"/>
  <c r="AM131" i="1" s="1"/>
  <c r="U132" i="1"/>
  <c r="V132" i="1" s="1"/>
  <c r="W132" i="1" s="1"/>
  <c r="X132" i="1" s="1"/>
  <c r="U133" i="1"/>
  <c r="AL133" i="1" s="1"/>
  <c r="AN133" i="1" s="1"/>
  <c r="AO133" i="1" s="1"/>
  <c r="U134" i="1"/>
  <c r="V134" i="1" s="1"/>
  <c r="W134" i="1" s="1"/>
  <c r="X134" i="1" s="1"/>
  <c r="U135" i="1"/>
  <c r="U136" i="1"/>
  <c r="V136" i="1" s="1"/>
  <c r="W136" i="1" s="1"/>
  <c r="X136" i="1" s="1"/>
  <c r="U137" i="1"/>
  <c r="U138" i="1"/>
  <c r="U139" i="1"/>
  <c r="U140" i="1"/>
  <c r="V140" i="1" s="1"/>
  <c r="W140" i="1" s="1"/>
  <c r="X140" i="1" s="1"/>
  <c r="U141" i="1"/>
  <c r="U142" i="1"/>
  <c r="U143" i="1"/>
  <c r="AL143" i="1" s="1"/>
  <c r="AN143" i="1" s="1"/>
  <c r="AO143" i="1" s="1"/>
  <c r="U144" i="1"/>
  <c r="U145" i="1"/>
  <c r="AL145" i="1" s="1"/>
  <c r="AN145" i="1" s="1"/>
  <c r="AO145" i="1" s="1"/>
  <c r="U146" i="1"/>
  <c r="V146" i="1" s="1"/>
  <c r="W146" i="1" s="1"/>
  <c r="X146" i="1" s="1"/>
  <c r="U147" i="1"/>
  <c r="U148" i="1"/>
  <c r="V148" i="1" s="1"/>
  <c r="W148" i="1" s="1"/>
  <c r="X148" i="1" s="1"/>
  <c r="U149" i="1"/>
  <c r="AL149" i="1" s="1"/>
  <c r="AN149" i="1" s="1"/>
  <c r="AO149" i="1" s="1"/>
  <c r="U150" i="1"/>
  <c r="V150" i="1" s="1"/>
  <c r="W150" i="1" s="1"/>
  <c r="X150" i="1" s="1"/>
  <c r="U151" i="1"/>
  <c r="U152" i="1"/>
  <c r="V152" i="1" s="1"/>
  <c r="W152" i="1" s="1"/>
  <c r="X152" i="1" s="1"/>
  <c r="U153" i="1"/>
  <c r="AL153" i="1" s="1"/>
  <c r="AN153" i="1" s="1"/>
  <c r="AO153" i="1" s="1"/>
  <c r="U154" i="1"/>
  <c r="V154" i="1" s="1"/>
  <c r="W154" i="1" s="1"/>
  <c r="X154" i="1" s="1"/>
  <c r="U155" i="1"/>
  <c r="U156" i="1"/>
  <c r="V156" i="1" s="1"/>
  <c r="W156" i="1" s="1"/>
  <c r="X156" i="1" s="1"/>
  <c r="U157" i="1"/>
  <c r="AL157" i="1" s="1"/>
  <c r="AN157" i="1" s="1"/>
  <c r="AO157" i="1" s="1"/>
  <c r="U158" i="1"/>
  <c r="V158" i="1" s="1"/>
  <c r="W158" i="1" s="1"/>
  <c r="X158" i="1" s="1"/>
  <c r="U159" i="1"/>
  <c r="U160" i="1"/>
  <c r="V160" i="1" s="1"/>
  <c r="W160" i="1" s="1"/>
  <c r="X160" i="1" s="1"/>
  <c r="U161" i="1"/>
  <c r="AL161" i="1" s="1"/>
  <c r="AN161" i="1" s="1"/>
  <c r="AO161" i="1" s="1"/>
  <c r="U162" i="1"/>
  <c r="V162" i="1" s="1"/>
  <c r="W162" i="1" s="1"/>
  <c r="X162" i="1" s="1"/>
  <c r="U163" i="1"/>
  <c r="U164" i="1"/>
  <c r="V164" i="1" s="1"/>
  <c r="W164" i="1" s="1"/>
  <c r="X164" i="1" s="1"/>
  <c r="U165" i="1"/>
  <c r="AL165" i="1" s="1"/>
  <c r="AN165" i="1" s="1"/>
  <c r="AO165" i="1" s="1"/>
  <c r="U166" i="1"/>
  <c r="V166" i="1" s="1"/>
  <c r="W166" i="1" s="1"/>
  <c r="X166" i="1" s="1"/>
  <c r="U167" i="1"/>
  <c r="U168" i="1"/>
  <c r="V168" i="1" s="1"/>
  <c r="W168" i="1" s="1"/>
  <c r="X168" i="1" s="1"/>
  <c r="U169" i="1"/>
  <c r="AL169" i="1" s="1"/>
  <c r="AN169" i="1" s="1"/>
  <c r="AO169" i="1" s="1"/>
  <c r="U170" i="1"/>
  <c r="V170" i="1" s="1"/>
  <c r="W170" i="1" s="1"/>
  <c r="X170" i="1" s="1"/>
  <c r="U171" i="1"/>
  <c r="U172" i="1"/>
  <c r="V172" i="1" s="1"/>
  <c r="W172" i="1" s="1"/>
  <c r="X172" i="1" s="1"/>
  <c r="U173" i="1"/>
  <c r="AL173" i="1" s="1"/>
  <c r="AN173" i="1" s="1"/>
  <c r="AO173" i="1" s="1"/>
  <c r="U174" i="1"/>
  <c r="V174" i="1" s="1"/>
  <c r="W174" i="1" s="1"/>
  <c r="X174" i="1" s="1"/>
  <c r="U175" i="1"/>
  <c r="U176" i="1"/>
  <c r="V176" i="1" s="1"/>
  <c r="W176" i="1" s="1"/>
  <c r="X176" i="1" s="1"/>
  <c r="U177" i="1"/>
  <c r="AL177" i="1" s="1"/>
  <c r="AN177" i="1" s="1"/>
  <c r="AO177" i="1" s="1"/>
  <c r="U178" i="1"/>
  <c r="V178" i="1" s="1"/>
  <c r="W178" i="1" s="1"/>
  <c r="X178" i="1" s="1"/>
  <c r="U179" i="1"/>
  <c r="U180" i="1"/>
  <c r="V180" i="1" s="1"/>
  <c r="W180" i="1" s="1"/>
  <c r="X180" i="1" s="1"/>
  <c r="U181" i="1"/>
  <c r="AL181" i="1" s="1"/>
  <c r="AN181" i="1" s="1"/>
  <c r="AO181" i="1" s="1"/>
  <c r="U182" i="1"/>
  <c r="V182" i="1" s="1"/>
  <c r="W182" i="1" s="1"/>
  <c r="X182" i="1" s="1"/>
  <c r="U183" i="1"/>
  <c r="U184" i="1"/>
  <c r="V184" i="1" s="1"/>
  <c r="W184" i="1" s="1"/>
  <c r="X184" i="1" s="1"/>
  <c r="U185" i="1"/>
  <c r="AL185" i="1" s="1"/>
  <c r="AN185" i="1" s="1"/>
  <c r="AO185" i="1" s="1"/>
  <c r="U186" i="1"/>
  <c r="U187" i="1"/>
  <c r="V187" i="1" s="1"/>
  <c r="W187" i="1" s="1"/>
  <c r="X187" i="1" s="1"/>
  <c r="U188" i="1"/>
  <c r="AL188" i="1" s="1"/>
  <c r="AN188" i="1" s="1"/>
  <c r="AO188" i="1" s="1"/>
  <c r="U189" i="1"/>
  <c r="U190" i="1"/>
  <c r="U191" i="1"/>
  <c r="V191" i="1" s="1"/>
  <c r="W191" i="1" s="1"/>
  <c r="X191" i="1" s="1"/>
  <c r="U192" i="1"/>
  <c r="U193" i="1"/>
  <c r="U194" i="1"/>
  <c r="U195" i="1"/>
  <c r="V195" i="1" s="1"/>
  <c r="W195" i="1" s="1"/>
  <c r="X195" i="1" s="1"/>
  <c r="U196" i="1"/>
  <c r="AL196" i="1" s="1"/>
  <c r="AN196" i="1" s="1"/>
  <c r="AO196" i="1" s="1"/>
  <c r="U197" i="1"/>
  <c r="U198" i="1"/>
  <c r="U199" i="1"/>
  <c r="V199" i="1" s="1"/>
  <c r="W199" i="1" s="1"/>
  <c r="X199" i="1" s="1"/>
  <c r="U200" i="1"/>
  <c r="U201" i="1"/>
  <c r="U202" i="1"/>
  <c r="V202" i="1" s="1"/>
  <c r="W202" i="1" s="1"/>
  <c r="X202" i="1" s="1"/>
  <c r="U203" i="1"/>
  <c r="V203" i="1" s="1"/>
  <c r="W203" i="1" s="1"/>
  <c r="X203" i="1" s="1"/>
  <c r="U204" i="1"/>
  <c r="V204" i="1" s="1"/>
  <c r="W204" i="1" s="1"/>
  <c r="X204" i="1" s="1"/>
  <c r="U205" i="1"/>
  <c r="U206" i="1"/>
  <c r="V206" i="1" s="1"/>
  <c r="W206" i="1" s="1"/>
  <c r="X206" i="1" s="1"/>
  <c r="U207" i="1"/>
  <c r="V207" i="1" s="1"/>
  <c r="W207" i="1" s="1"/>
  <c r="X207" i="1" s="1"/>
  <c r="AL131" i="1" l="1"/>
  <c r="AN131" i="1" s="1"/>
  <c r="AO131" i="1" s="1"/>
  <c r="AL124" i="1"/>
  <c r="AN124" i="1" s="1"/>
  <c r="AO124" i="1" s="1"/>
  <c r="AL172" i="1"/>
  <c r="AN172" i="1" s="1"/>
  <c r="AO172" i="1" s="1"/>
  <c r="AM127" i="1"/>
  <c r="AL201" i="1"/>
  <c r="AN201" i="1" s="1"/>
  <c r="AO201" i="1" s="1"/>
  <c r="AL197" i="1"/>
  <c r="AN197" i="1" s="1"/>
  <c r="AO197" i="1" s="1"/>
  <c r="AL193" i="1"/>
  <c r="AN193" i="1" s="1"/>
  <c r="AO193" i="1" s="1"/>
  <c r="AL189" i="1"/>
  <c r="AN189" i="1" s="1"/>
  <c r="AO189" i="1" s="1"/>
  <c r="AM173" i="1"/>
  <c r="AL156" i="1"/>
  <c r="AN156" i="1" s="1"/>
  <c r="AO156" i="1" s="1"/>
  <c r="AL204" i="1"/>
  <c r="AN204" i="1" s="1"/>
  <c r="AO204" i="1" s="1"/>
  <c r="AM157" i="1"/>
  <c r="AM97" i="1"/>
  <c r="V194" i="1"/>
  <c r="W194" i="1" s="1"/>
  <c r="X194" i="1" s="1"/>
  <c r="AM194" i="1"/>
  <c r="V190" i="1"/>
  <c r="W190" i="1" s="1"/>
  <c r="X190" i="1" s="1"/>
  <c r="AM190" i="1"/>
  <c r="V186" i="1"/>
  <c r="W186" i="1" s="1"/>
  <c r="X186" i="1" s="1"/>
  <c r="AM186" i="1"/>
  <c r="AL86" i="1"/>
  <c r="AN86" i="1" s="1"/>
  <c r="AO86" i="1" s="1"/>
  <c r="AM86" i="1"/>
  <c r="AL74" i="1"/>
  <c r="AN74" i="1" s="1"/>
  <c r="AO74" i="1" s="1"/>
  <c r="AM74" i="1"/>
  <c r="AL58" i="1"/>
  <c r="AN58" i="1" s="1"/>
  <c r="AO58" i="1" s="1"/>
  <c r="AM58" i="1"/>
  <c r="AL202" i="1"/>
  <c r="AN202" i="1" s="1"/>
  <c r="AO202" i="1" s="1"/>
  <c r="AL190" i="1"/>
  <c r="AN190" i="1" s="1"/>
  <c r="AO190" i="1" s="1"/>
  <c r="AM120" i="1"/>
  <c r="AL120" i="1"/>
  <c r="AN120" i="1" s="1"/>
  <c r="AO120" i="1" s="1"/>
  <c r="AL118" i="1"/>
  <c r="AN118" i="1" s="1"/>
  <c r="AO118" i="1" s="1"/>
  <c r="AL137" i="1"/>
  <c r="AN137" i="1" s="1"/>
  <c r="AO137" i="1" s="1"/>
  <c r="AM137" i="1"/>
  <c r="AL129" i="1"/>
  <c r="AN129" i="1" s="1"/>
  <c r="AO129" i="1" s="1"/>
  <c r="AM129" i="1"/>
  <c r="AL121" i="1"/>
  <c r="AN121" i="1" s="1"/>
  <c r="AO121" i="1" s="1"/>
  <c r="AM121" i="1"/>
  <c r="AL207" i="1"/>
  <c r="AN207" i="1" s="1"/>
  <c r="AO207" i="1" s="1"/>
  <c r="AM207" i="1"/>
  <c r="AL205" i="1"/>
  <c r="AN205" i="1" s="1"/>
  <c r="AO205" i="1" s="1"/>
  <c r="AM205" i="1"/>
  <c r="AL203" i="1"/>
  <c r="AN203" i="1" s="1"/>
  <c r="AO203" i="1" s="1"/>
  <c r="AM203" i="1"/>
  <c r="AM177" i="1"/>
  <c r="AL176" i="1"/>
  <c r="AN176" i="1" s="1"/>
  <c r="AO176" i="1" s="1"/>
  <c r="AL174" i="1"/>
  <c r="AN174" i="1" s="1"/>
  <c r="AO174" i="1" s="1"/>
  <c r="AM161" i="1"/>
  <c r="AL160" i="1"/>
  <c r="AN160" i="1" s="1"/>
  <c r="AO160" i="1" s="1"/>
  <c r="AL158" i="1"/>
  <c r="AN158" i="1" s="1"/>
  <c r="AO158" i="1" s="1"/>
  <c r="AM145" i="1"/>
  <c r="AL132" i="1"/>
  <c r="AN132" i="1" s="1"/>
  <c r="AO132" i="1" s="1"/>
  <c r="AM113" i="1"/>
  <c r="V198" i="1"/>
  <c r="W198" i="1" s="1"/>
  <c r="X198" i="1" s="1"/>
  <c r="AM198" i="1"/>
  <c r="AL82" i="1"/>
  <c r="AN82" i="1" s="1"/>
  <c r="AO82" i="1" s="1"/>
  <c r="AM82" i="1"/>
  <c r="AL70" i="1"/>
  <c r="AN70" i="1" s="1"/>
  <c r="AO70" i="1" s="1"/>
  <c r="AM70" i="1"/>
  <c r="AL62" i="1"/>
  <c r="AN62" i="1" s="1"/>
  <c r="AO62" i="1" s="1"/>
  <c r="AM62" i="1"/>
  <c r="AL50" i="1"/>
  <c r="AN50" i="1" s="1"/>
  <c r="AO50" i="1" s="1"/>
  <c r="AM50" i="1"/>
  <c r="AL46" i="1"/>
  <c r="AN46" i="1" s="1"/>
  <c r="AO46" i="1" s="1"/>
  <c r="AM46" i="1"/>
  <c r="AL206" i="1"/>
  <c r="AN206" i="1" s="1"/>
  <c r="AO206" i="1" s="1"/>
  <c r="AL198" i="1"/>
  <c r="AN198" i="1" s="1"/>
  <c r="AO198" i="1" s="1"/>
  <c r="AL194" i="1"/>
  <c r="AN194" i="1" s="1"/>
  <c r="AO194" i="1" s="1"/>
  <c r="AL125" i="1"/>
  <c r="AN125" i="1" s="1"/>
  <c r="AO125" i="1" s="1"/>
  <c r="AM125" i="1"/>
  <c r="AL93" i="1"/>
  <c r="AN93" i="1" s="1"/>
  <c r="AO93" i="1" s="1"/>
  <c r="AM93" i="1"/>
  <c r="AN85" i="1"/>
  <c r="AO85" i="1" s="1"/>
  <c r="V200" i="1"/>
  <c r="W200" i="1" s="1"/>
  <c r="X200" i="1" s="1"/>
  <c r="AM200" i="1"/>
  <c r="V192" i="1"/>
  <c r="W192" i="1" s="1"/>
  <c r="X192" i="1" s="1"/>
  <c r="AM192" i="1"/>
  <c r="V128" i="1"/>
  <c r="W128" i="1" s="1"/>
  <c r="X128" i="1" s="1"/>
  <c r="AL128" i="1"/>
  <c r="AN128" i="1" s="1"/>
  <c r="AO128" i="1" s="1"/>
  <c r="AL88" i="1"/>
  <c r="AN88" i="1" s="1"/>
  <c r="AO88" i="1" s="1"/>
  <c r="AM88" i="1"/>
  <c r="AL84" i="1"/>
  <c r="AN84" i="1" s="1"/>
  <c r="AO84" i="1" s="1"/>
  <c r="AM84" i="1"/>
  <c r="AL80" i="1"/>
  <c r="AN80" i="1" s="1"/>
  <c r="AO80" i="1" s="1"/>
  <c r="AM80" i="1"/>
  <c r="AL76" i="1"/>
  <c r="AN76" i="1" s="1"/>
  <c r="AO76" i="1" s="1"/>
  <c r="AM76" i="1"/>
  <c r="AL72" i="1"/>
  <c r="AN72" i="1" s="1"/>
  <c r="AO72" i="1" s="1"/>
  <c r="AM72" i="1"/>
  <c r="AL68" i="1"/>
  <c r="AN68" i="1" s="1"/>
  <c r="AO68" i="1" s="1"/>
  <c r="AM68" i="1"/>
  <c r="AL64" i="1"/>
  <c r="AN64" i="1" s="1"/>
  <c r="AO64" i="1" s="1"/>
  <c r="AM64" i="1"/>
  <c r="AL60" i="1"/>
  <c r="AN60" i="1" s="1"/>
  <c r="AO60" i="1" s="1"/>
  <c r="AM60" i="1"/>
  <c r="AL56" i="1"/>
  <c r="AN56" i="1" s="1"/>
  <c r="AO56" i="1" s="1"/>
  <c r="AM56" i="1"/>
  <c r="AL52" i="1"/>
  <c r="AN52" i="1" s="1"/>
  <c r="AO52" i="1" s="1"/>
  <c r="AM52" i="1"/>
  <c r="AL48" i="1"/>
  <c r="AN48" i="1" s="1"/>
  <c r="AO48" i="1" s="1"/>
  <c r="AM48" i="1"/>
  <c r="AL36" i="1"/>
  <c r="AN36" i="1" s="1"/>
  <c r="AO36" i="1" s="1"/>
  <c r="AM36" i="1"/>
  <c r="AL200" i="1"/>
  <c r="AN200" i="1" s="1"/>
  <c r="AO200" i="1" s="1"/>
  <c r="AL199" i="1"/>
  <c r="AN199" i="1" s="1"/>
  <c r="AO199" i="1" s="1"/>
  <c r="AL195" i="1"/>
  <c r="AN195" i="1" s="1"/>
  <c r="AO195" i="1" s="1"/>
  <c r="AL192" i="1"/>
  <c r="AN192" i="1" s="1"/>
  <c r="AO192" i="1" s="1"/>
  <c r="AL191" i="1"/>
  <c r="AN191" i="1" s="1"/>
  <c r="AO191" i="1" s="1"/>
  <c r="AL187" i="1"/>
  <c r="AN187" i="1" s="1"/>
  <c r="AO187" i="1" s="1"/>
  <c r="AM181" i="1"/>
  <c r="AL180" i="1"/>
  <c r="AN180" i="1" s="1"/>
  <c r="AO180" i="1" s="1"/>
  <c r="AL178" i="1"/>
  <c r="AN178" i="1" s="1"/>
  <c r="AO178" i="1" s="1"/>
  <c r="AM165" i="1"/>
  <c r="AL164" i="1"/>
  <c r="AN164" i="1" s="1"/>
  <c r="AO164" i="1" s="1"/>
  <c r="AL162" i="1"/>
  <c r="AN162" i="1" s="1"/>
  <c r="AO162" i="1" s="1"/>
  <c r="AM149" i="1"/>
  <c r="AL148" i="1"/>
  <c r="AN148" i="1" s="1"/>
  <c r="AO148" i="1" s="1"/>
  <c r="AL146" i="1"/>
  <c r="AN146" i="1" s="1"/>
  <c r="AO146" i="1" s="1"/>
  <c r="AM133" i="1"/>
  <c r="V142" i="1"/>
  <c r="W142" i="1" s="1"/>
  <c r="X142" i="1" s="1"/>
  <c r="AL142" i="1"/>
  <c r="AN142" i="1" s="1"/>
  <c r="AO142" i="1" s="1"/>
  <c r="V138" i="1"/>
  <c r="W138" i="1" s="1"/>
  <c r="X138" i="1" s="1"/>
  <c r="AL138" i="1"/>
  <c r="AN138" i="1" s="1"/>
  <c r="AO138" i="1" s="1"/>
  <c r="V130" i="1"/>
  <c r="W130" i="1" s="1"/>
  <c r="X130" i="1" s="1"/>
  <c r="AL130" i="1"/>
  <c r="AN130" i="1" s="1"/>
  <c r="AO130" i="1" s="1"/>
  <c r="V126" i="1"/>
  <c r="W126" i="1" s="1"/>
  <c r="X126" i="1" s="1"/>
  <c r="AL126" i="1"/>
  <c r="AN126" i="1" s="1"/>
  <c r="AO126" i="1" s="1"/>
  <c r="V122" i="1"/>
  <c r="W122" i="1" s="1"/>
  <c r="X122" i="1" s="1"/>
  <c r="AL122" i="1"/>
  <c r="AN122" i="1" s="1"/>
  <c r="AO122" i="1" s="1"/>
  <c r="AL78" i="1"/>
  <c r="AN78" i="1" s="1"/>
  <c r="AO78" i="1" s="1"/>
  <c r="AM78" i="1"/>
  <c r="AL66" i="1"/>
  <c r="AN66" i="1" s="1"/>
  <c r="AO66" i="1" s="1"/>
  <c r="AM66" i="1"/>
  <c r="AL54" i="1"/>
  <c r="AN54" i="1" s="1"/>
  <c r="AO54" i="1" s="1"/>
  <c r="AM54" i="1"/>
  <c r="AL38" i="1"/>
  <c r="AN38" i="1" s="1"/>
  <c r="AO38" i="1" s="1"/>
  <c r="AM38" i="1"/>
  <c r="AL186" i="1"/>
  <c r="AN186" i="1" s="1"/>
  <c r="AO186" i="1" s="1"/>
  <c r="AL170" i="1"/>
  <c r="AN170" i="1" s="1"/>
  <c r="AO170" i="1" s="1"/>
  <c r="AL154" i="1"/>
  <c r="AN154" i="1" s="1"/>
  <c r="AO154" i="1" s="1"/>
  <c r="AL141" i="1"/>
  <c r="AN141" i="1" s="1"/>
  <c r="AO141" i="1" s="1"/>
  <c r="AM141" i="1"/>
  <c r="AL109" i="1"/>
  <c r="AN109" i="1" s="1"/>
  <c r="AO109" i="1" s="1"/>
  <c r="AM109" i="1"/>
  <c r="AL105" i="1"/>
  <c r="AN105" i="1" s="1"/>
  <c r="AO105" i="1" s="1"/>
  <c r="AM105" i="1"/>
  <c r="AL101" i="1"/>
  <c r="AN101" i="1" s="1"/>
  <c r="AO101" i="1" s="1"/>
  <c r="AM101" i="1"/>
  <c r="AL89" i="1"/>
  <c r="AN89" i="1" s="1"/>
  <c r="AO89" i="1" s="1"/>
  <c r="AM89" i="1"/>
  <c r="V196" i="1"/>
  <c r="W196" i="1" s="1"/>
  <c r="X196" i="1" s="1"/>
  <c r="AM196" i="1"/>
  <c r="V188" i="1"/>
  <c r="W188" i="1" s="1"/>
  <c r="X188" i="1" s="1"/>
  <c r="AM188" i="1"/>
  <c r="V144" i="1"/>
  <c r="W144" i="1" s="1"/>
  <c r="X144" i="1" s="1"/>
  <c r="AL144" i="1"/>
  <c r="AN144" i="1" s="1"/>
  <c r="AO144" i="1" s="1"/>
  <c r="V183" i="1"/>
  <c r="W183" i="1" s="1"/>
  <c r="X183" i="1" s="1"/>
  <c r="AL183" i="1"/>
  <c r="AN183" i="1" s="1"/>
  <c r="AO183" i="1" s="1"/>
  <c r="AM183" i="1"/>
  <c r="V179" i="1"/>
  <c r="W179" i="1" s="1"/>
  <c r="X179" i="1" s="1"/>
  <c r="AL179" i="1"/>
  <c r="AN179" i="1" s="1"/>
  <c r="AO179" i="1" s="1"/>
  <c r="AM179" i="1"/>
  <c r="V175" i="1"/>
  <c r="W175" i="1" s="1"/>
  <c r="X175" i="1" s="1"/>
  <c r="AL175" i="1"/>
  <c r="AN175" i="1" s="1"/>
  <c r="AO175" i="1" s="1"/>
  <c r="AM175" i="1"/>
  <c r="AL171" i="1"/>
  <c r="AN171" i="1" s="1"/>
  <c r="AO171" i="1" s="1"/>
  <c r="AM171" i="1"/>
  <c r="AL167" i="1"/>
  <c r="AN167" i="1" s="1"/>
  <c r="AO167" i="1" s="1"/>
  <c r="AM167" i="1"/>
  <c r="AL163" i="1"/>
  <c r="AN163" i="1" s="1"/>
  <c r="AO163" i="1" s="1"/>
  <c r="AM163" i="1"/>
  <c r="AL159" i="1"/>
  <c r="AN159" i="1" s="1"/>
  <c r="AO159" i="1" s="1"/>
  <c r="AM159" i="1"/>
  <c r="AL155" i="1"/>
  <c r="AN155" i="1" s="1"/>
  <c r="AO155" i="1" s="1"/>
  <c r="AM155" i="1"/>
  <c r="AL151" i="1"/>
  <c r="AN151" i="1" s="1"/>
  <c r="AO151" i="1" s="1"/>
  <c r="AM151" i="1"/>
  <c r="AL147" i="1"/>
  <c r="AN147" i="1" s="1"/>
  <c r="AO147" i="1" s="1"/>
  <c r="AM147" i="1"/>
  <c r="AL139" i="1"/>
  <c r="AN139" i="1" s="1"/>
  <c r="AO139" i="1" s="1"/>
  <c r="AM139" i="1"/>
  <c r="AL135" i="1"/>
  <c r="AN135" i="1" s="1"/>
  <c r="AO135" i="1" s="1"/>
  <c r="AM135" i="1"/>
  <c r="AL123" i="1"/>
  <c r="AN123" i="1" s="1"/>
  <c r="AO123" i="1" s="1"/>
  <c r="AM123" i="1"/>
  <c r="AL119" i="1"/>
  <c r="AN119" i="1" s="1"/>
  <c r="AO119" i="1" s="1"/>
  <c r="AM119" i="1"/>
  <c r="AL115" i="1"/>
  <c r="AN115" i="1" s="1"/>
  <c r="AO115" i="1" s="1"/>
  <c r="AM115" i="1"/>
  <c r="AL111" i="1"/>
  <c r="AN111" i="1" s="1"/>
  <c r="AO111" i="1" s="1"/>
  <c r="AM111" i="1"/>
  <c r="AL107" i="1"/>
  <c r="AN107" i="1" s="1"/>
  <c r="AO107" i="1" s="1"/>
  <c r="AM107" i="1"/>
  <c r="AL103" i="1"/>
  <c r="AN103" i="1" s="1"/>
  <c r="AO103" i="1" s="1"/>
  <c r="AM103" i="1"/>
  <c r="AL99" i="1"/>
  <c r="AN99" i="1" s="1"/>
  <c r="AO99" i="1" s="1"/>
  <c r="AM99" i="1"/>
  <c r="AL95" i="1"/>
  <c r="AN95" i="1" s="1"/>
  <c r="AO95" i="1" s="1"/>
  <c r="AM95" i="1"/>
  <c r="AL91" i="1"/>
  <c r="AN91" i="1" s="1"/>
  <c r="AO91" i="1" s="1"/>
  <c r="AM91" i="1"/>
  <c r="AN83" i="1"/>
  <c r="AO83" i="1" s="1"/>
  <c r="AM206" i="1"/>
  <c r="AM204" i="1"/>
  <c r="AM202" i="1"/>
  <c r="AM185" i="1"/>
  <c r="AL184" i="1"/>
  <c r="AN184" i="1" s="1"/>
  <c r="AO184" i="1" s="1"/>
  <c r="AL182" i="1"/>
  <c r="AN182" i="1" s="1"/>
  <c r="AO182" i="1" s="1"/>
  <c r="AM169" i="1"/>
  <c r="AL168" i="1"/>
  <c r="AN168" i="1" s="1"/>
  <c r="AO168" i="1" s="1"/>
  <c r="AL166" i="1"/>
  <c r="AN166" i="1" s="1"/>
  <c r="AO166" i="1" s="1"/>
  <c r="AM153" i="1"/>
  <c r="AL152" i="1"/>
  <c r="AN152" i="1" s="1"/>
  <c r="AO152" i="1" s="1"/>
  <c r="AL150" i="1"/>
  <c r="AN150" i="1" s="1"/>
  <c r="AO150" i="1" s="1"/>
  <c r="AM143" i="1"/>
  <c r="AL140" i="1"/>
  <c r="AN140" i="1" s="1"/>
  <c r="AO140" i="1" s="1"/>
  <c r="AM136" i="1"/>
  <c r="AL136" i="1"/>
  <c r="AN136" i="1" s="1"/>
  <c r="AO136" i="1" s="1"/>
  <c r="AL134" i="1"/>
  <c r="AN134" i="1" s="1"/>
  <c r="AO134" i="1" s="1"/>
  <c r="AM117" i="1"/>
  <c r="AM201" i="1"/>
  <c r="AM199" i="1"/>
  <c r="AM197" i="1"/>
  <c r="AM195" i="1"/>
  <c r="AM193" i="1"/>
  <c r="AM191" i="1"/>
  <c r="AM189" i="1"/>
  <c r="AM187" i="1"/>
  <c r="AM182" i="1"/>
  <c r="AM178" i="1"/>
  <c r="AM174" i="1"/>
  <c r="AM170" i="1"/>
  <c r="AM166" i="1"/>
  <c r="AM162" i="1"/>
  <c r="AM158" i="1"/>
  <c r="AM154" i="1"/>
  <c r="AM150" i="1"/>
  <c r="AM146" i="1"/>
  <c r="AM132" i="1"/>
  <c r="AL87" i="1"/>
  <c r="AN87" i="1" s="1"/>
  <c r="AO87" i="1" s="1"/>
  <c r="AM144" i="1"/>
  <c r="AM128" i="1"/>
  <c r="AM184" i="1"/>
  <c r="AM180" i="1"/>
  <c r="AM176" i="1"/>
  <c r="AM172" i="1"/>
  <c r="AM168" i="1"/>
  <c r="AM164" i="1"/>
  <c r="AM160" i="1"/>
  <c r="AM156" i="1"/>
  <c r="AM152" i="1"/>
  <c r="AM148" i="1"/>
  <c r="AM140" i="1"/>
  <c r="AM124" i="1"/>
  <c r="AM79" i="1"/>
  <c r="AL79" i="1"/>
  <c r="AN79" i="1" s="1"/>
  <c r="AO79" i="1" s="1"/>
  <c r="AM142" i="1"/>
  <c r="AM138" i="1"/>
  <c r="AM134" i="1"/>
  <c r="AM130" i="1"/>
  <c r="AM126" i="1"/>
  <c r="AM122" i="1"/>
  <c r="AM118" i="1"/>
  <c r="AM114" i="1"/>
  <c r="AM110" i="1"/>
  <c r="AM106" i="1"/>
  <c r="AM102" i="1"/>
  <c r="AM98" i="1"/>
  <c r="AM94" i="1"/>
  <c r="AM90" i="1"/>
  <c r="AM75" i="1"/>
  <c r="AM71" i="1"/>
  <c r="AM67" i="1"/>
  <c r="AM63" i="1"/>
  <c r="AL44" i="1"/>
  <c r="AN44" i="1" s="1"/>
  <c r="AO44" i="1" s="1"/>
  <c r="AL42" i="1"/>
  <c r="AN42" i="1" s="1"/>
  <c r="AO42" i="1" s="1"/>
  <c r="AL40" i="1"/>
  <c r="AN40" i="1" s="1"/>
  <c r="AO40" i="1" s="1"/>
  <c r="AL34" i="1"/>
  <c r="AN34" i="1" s="1"/>
  <c r="AO34" i="1" s="1"/>
  <c r="AL32" i="1"/>
  <c r="AN32" i="1" s="1"/>
  <c r="AO32" i="1" s="1"/>
  <c r="AL30" i="1"/>
  <c r="AN30" i="1" s="1"/>
  <c r="AO30" i="1" s="1"/>
  <c r="AL27" i="1"/>
  <c r="AN27" i="1" s="1"/>
  <c r="AO27" i="1" s="1"/>
  <c r="AM27" i="1"/>
  <c r="AL22" i="1"/>
  <c r="AN22" i="1" s="1"/>
  <c r="AO22" i="1" s="1"/>
  <c r="AL19" i="1"/>
  <c r="AN19" i="1" s="1"/>
  <c r="AO19" i="1" s="1"/>
  <c r="AM19" i="1"/>
  <c r="AL14" i="1"/>
  <c r="AN14" i="1" s="1"/>
  <c r="AO14" i="1" s="1"/>
  <c r="AL11" i="1"/>
  <c r="AN11" i="1" s="1"/>
  <c r="AO11" i="1" s="1"/>
  <c r="AM11" i="1"/>
  <c r="AL6" i="1"/>
  <c r="AN6" i="1" s="1"/>
  <c r="AO6" i="1" s="1"/>
  <c r="AM87" i="1"/>
  <c r="AM112" i="1"/>
  <c r="AM108" i="1"/>
  <c r="AM104" i="1"/>
  <c r="AM100" i="1"/>
  <c r="AM96" i="1"/>
  <c r="AM92" i="1"/>
  <c r="AM83" i="1"/>
  <c r="AM73" i="1"/>
  <c r="AM69" i="1"/>
  <c r="AM65" i="1"/>
  <c r="AM61" i="1"/>
  <c r="AM59" i="1"/>
  <c r="AL59" i="1"/>
  <c r="AN59" i="1" s="1"/>
  <c r="AO59" i="1" s="1"/>
  <c r="AM57" i="1"/>
  <c r="AL57" i="1"/>
  <c r="AN57" i="1" s="1"/>
  <c r="AO57" i="1" s="1"/>
  <c r="AM55" i="1"/>
  <c r="AL55" i="1"/>
  <c r="AN55" i="1" s="1"/>
  <c r="AO55" i="1" s="1"/>
  <c r="AM53" i="1"/>
  <c r="AL53" i="1"/>
  <c r="AN53" i="1" s="1"/>
  <c r="AO53" i="1" s="1"/>
  <c r="AM51" i="1"/>
  <c r="AL51" i="1"/>
  <c r="AN51" i="1" s="1"/>
  <c r="AO51" i="1" s="1"/>
  <c r="AM49" i="1"/>
  <c r="AL49" i="1"/>
  <c r="AN49" i="1" s="1"/>
  <c r="AO49" i="1" s="1"/>
  <c r="AM47" i="1"/>
  <c r="AL47" i="1"/>
  <c r="AN47" i="1" s="1"/>
  <c r="AO47" i="1" s="1"/>
  <c r="AM45" i="1"/>
  <c r="AL45" i="1"/>
  <c r="AN45" i="1" s="1"/>
  <c r="AO45" i="1" s="1"/>
  <c r="AM43" i="1"/>
  <c r="AL43" i="1"/>
  <c r="AN43" i="1" s="1"/>
  <c r="AO43" i="1" s="1"/>
  <c r="AM41" i="1"/>
  <c r="AL41" i="1"/>
  <c r="AN41" i="1" s="1"/>
  <c r="AO41" i="1" s="1"/>
  <c r="AM39" i="1"/>
  <c r="AL39" i="1"/>
  <c r="AN39" i="1" s="1"/>
  <c r="AO39" i="1" s="1"/>
  <c r="AM37" i="1"/>
  <c r="AL37" i="1"/>
  <c r="AN37" i="1" s="1"/>
  <c r="AO37" i="1" s="1"/>
  <c r="AM35" i="1"/>
  <c r="AL35" i="1"/>
  <c r="AN35" i="1" s="1"/>
  <c r="AO35" i="1" s="1"/>
  <c r="AM33" i="1"/>
  <c r="AL33" i="1"/>
  <c r="AN33" i="1" s="1"/>
  <c r="AO33" i="1" s="1"/>
  <c r="AM31" i="1"/>
  <c r="AL31" i="1"/>
  <c r="AN31" i="1" s="1"/>
  <c r="AO31" i="1" s="1"/>
  <c r="AL26" i="1"/>
  <c r="AN26" i="1" s="1"/>
  <c r="AO26" i="1" s="1"/>
  <c r="AL23" i="1"/>
  <c r="AN23" i="1" s="1"/>
  <c r="AO23" i="1" s="1"/>
  <c r="AM23" i="1"/>
  <c r="AL18" i="1"/>
  <c r="AN18" i="1" s="1"/>
  <c r="AO18" i="1" s="1"/>
  <c r="AL15" i="1"/>
  <c r="AN15" i="1" s="1"/>
  <c r="AO15" i="1" s="1"/>
  <c r="AM15" i="1"/>
  <c r="AL10" i="1"/>
  <c r="AN10" i="1" s="1"/>
  <c r="AO10" i="1" s="1"/>
  <c r="AL7" i="1"/>
  <c r="AN7" i="1" s="1"/>
  <c r="AO7" i="1" s="1"/>
  <c r="AM7" i="1"/>
  <c r="AM85" i="1"/>
  <c r="AM81" i="1"/>
  <c r="AM77" i="1"/>
  <c r="AL28" i="1"/>
  <c r="AN28" i="1" s="1"/>
  <c r="AO28" i="1" s="1"/>
  <c r="AL24" i="1"/>
  <c r="AN24" i="1" s="1"/>
  <c r="AO24" i="1" s="1"/>
  <c r="AL20" i="1"/>
  <c r="AN20" i="1" s="1"/>
  <c r="AO20" i="1" s="1"/>
  <c r="AL16" i="1"/>
  <c r="AN16" i="1" s="1"/>
  <c r="AO16" i="1" s="1"/>
  <c r="AL12" i="1"/>
  <c r="AN12" i="1" s="1"/>
  <c r="AO12" i="1" s="1"/>
  <c r="AL8" i="1"/>
  <c r="AN8" i="1" s="1"/>
  <c r="AO8" i="1" s="1"/>
  <c r="AL4" i="1"/>
  <c r="AN4" i="1" s="1"/>
  <c r="AO4" i="1" s="1"/>
  <c r="AL29" i="1"/>
  <c r="AN29" i="1" s="1"/>
  <c r="AO29" i="1" s="1"/>
  <c r="AM29" i="1"/>
  <c r="AL25" i="1"/>
  <c r="AN25" i="1" s="1"/>
  <c r="AO25" i="1" s="1"/>
  <c r="AM25" i="1"/>
  <c r="AL21" i="1"/>
  <c r="AN21" i="1" s="1"/>
  <c r="AO21" i="1" s="1"/>
  <c r="AM21" i="1"/>
  <c r="AL17" i="1"/>
  <c r="AN17" i="1" s="1"/>
  <c r="AO17" i="1" s="1"/>
  <c r="AM17" i="1"/>
  <c r="AL13" i="1"/>
  <c r="AN13" i="1" s="1"/>
  <c r="AO13" i="1" s="1"/>
  <c r="AM13" i="1"/>
  <c r="AL9" i="1"/>
  <c r="AN9" i="1" s="1"/>
  <c r="AO9" i="1" s="1"/>
  <c r="AM9" i="1"/>
  <c r="AL5" i="1"/>
  <c r="AN5" i="1" s="1"/>
  <c r="AO5" i="1" s="1"/>
  <c r="AM5" i="1"/>
  <c r="AK3" i="1"/>
  <c r="AF116" i="1"/>
  <c r="AG116" i="1" s="1"/>
  <c r="AH116" i="1" s="1"/>
  <c r="AE116" i="1"/>
  <c r="AF3" i="1"/>
  <c r="AE3" i="1"/>
  <c r="AF170" i="1"/>
  <c r="AG170" i="1" s="1"/>
  <c r="AH170" i="1" s="1"/>
  <c r="AF138" i="1"/>
  <c r="AG138" i="1" s="1"/>
  <c r="AH138" i="1" s="1"/>
  <c r="AF203" i="1"/>
  <c r="AG203" i="1" s="1"/>
  <c r="AH203" i="1" s="1"/>
  <c r="AF187" i="1"/>
  <c r="AG187" i="1" s="1"/>
  <c r="AH187" i="1" s="1"/>
  <c r="AF199" i="1"/>
  <c r="AG199" i="1" s="1"/>
  <c r="AH199" i="1" s="1"/>
  <c r="AF183" i="1"/>
  <c r="AG183" i="1" s="1"/>
  <c r="AH183" i="1" s="1"/>
  <c r="AF162" i="1"/>
  <c r="AG162" i="1" s="1"/>
  <c r="AH162" i="1" s="1"/>
  <c r="AF130" i="1"/>
  <c r="AG130" i="1" s="1"/>
  <c r="AH130" i="1" s="1"/>
  <c r="AF195" i="1"/>
  <c r="AG195" i="1" s="1"/>
  <c r="AH195" i="1" s="1"/>
  <c r="AF179" i="1"/>
  <c r="AG179" i="1" s="1"/>
  <c r="AH179" i="1" s="1"/>
  <c r="AF154" i="1"/>
  <c r="AG154" i="1" s="1"/>
  <c r="AH154" i="1" s="1"/>
  <c r="AF122" i="1"/>
  <c r="AG122" i="1" s="1"/>
  <c r="AH122" i="1" s="1"/>
  <c r="AF207" i="1"/>
  <c r="AG207" i="1" s="1"/>
  <c r="AH207" i="1" s="1"/>
  <c r="AF191" i="1"/>
  <c r="AG191" i="1" s="1"/>
  <c r="AH191" i="1" s="1"/>
  <c r="AF175" i="1"/>
  <c r="AG175" i="1" s="1"/>
  <c r="AH175" i="1" s="1"/>
  <c r="AF146" i="1"/>
  <c r="AG146" i="1" s="1"/>
  <c r="AH146" i="1" s="1"/>
  <c r="V205" i="1"/>
  <c r="W205" i="1" s="1"/>
  <c r="X205" i="1" s="1"/>
  <c r="AF205" i="1"/>
  <c r="AG205" i="1" s="1"/>
  <c r="AH205" i="1" s="1"/>
  <c r="V201" i="1"/>
  <c r="W201" i="1" s="1"/>
  <c r="X201" i="1" s="1"/>
  <c r="AF201" i="1"/>
  <c r="AG201" i="1" s="1"/>
  <c r="AH201" i="1" s="1"/>
  <c r="V197" i="1"/>
  <c r="W197" i="1" s="1"/>
  <c r="X197" i="1" s="1"/>
  <c r="AF197" i="1"/>
  <c r="AG197" i="1" s="1"/>
  <c r="AH197" i="1" s="1"/>
  <c r="V193" i="1"/>
  <c r="W193" i="1" s="1"/>
  <c r="X193" i="1" s="1"/>
  <c r="AF193" i="1"/>
  <c r="AG193" i="1" s="1"/>
  <c r="AH193" i="1" s="1"/>
  <c r="V189" i="1"/>
  <c r="W189" i="1" s="1"/>
  <c r="X189" i="1" s="1"/>
  <c r="AF189" i="1"/>
  <c r="AG189" i="1" s="1"/>
  <c r="AH189" i="1" s="1"/>
  <c r="V185" i="1"/>
  <c r="W185" i="1" s="1"/>
  <c r="X185" i="1" s="1"/>
  <c r="AF185" i="1"/>
  <c r="AG185" i="1" s="1"/>
  <c r="AH185" i="1" s="1"/>
  <c r="V181" i="1"/>
  <c r="W181" i="1" s="1"/>
  <c r="X181" i="1" s="1"/>
  <c r="AF181" i="1"/>
  <c r="AG181" i="1" s="1"/>
  <c r="AH181" i="1" s="1"/>
  <c r="V177" i="1"/>
  <c r="W177" i="1" s="1"/>
  <c r="X177" i="1" s="1"/>
  <c r="AF177" i="1"/>
  <c r="AG177" i="1" s="1"/>
  <c r="AH177" i="1" s="1"/>
  <c r="V173" i="1"/>
  <c r="W173" i="1" s="1"/>
  <c r="X173" i="1" s="1"/>
  <c r="AF173" i="1"/>
  <c r="AG173" i="1" s="1"/>
  <c r="AH173" i="1" s="1"/>
  <c r="V169" i="1"/>
  <c r="W169" i="1" s="1"/>
  <c r="X169" i="1" s="1"/>
  <c r="AF169" i="1"/>
  <c r="AG169" i="1" s="1"/>
  <c r="AH169" i="1" s="1"/>
  <c r="V165" i="1"/>
  <c r="W165" i="1" s="1"/>
  <c r="X165" i="1" s="1"/>
  <c r="AF165" i="1"/>
  <c r="AG165" i="1" s="1"/>
  <c r="AH165" i="1" s="1"/>
  <c r="V161" i="1"/>
  <c r="W161" i="1" s="1"/>
  <c r="X161" i="1" s="1"/>
  <c r="AF161" i="1"/>
  <c r="AG161" i="1" s="1"/>
  <c r="AH161" i="1" s="1"/>
  <c r="V157" i="1"/>
  <c r="W157" i="1" s="1"/>
  <c r="X157" i="1" s="1"/>
  <c r="AF157" i="1"/>
  <c r="AG157" i="1" s="1"/>
  <c r="AH157" i="1" s="1"/>
  <c r="V153" i="1"/>
  <c r="W153" i="1" s="1"/>
  <c r="X153" i="1" s="1"/>
  <c r="AF153" i="1"/>
  <c r="AG153" i="1" s="1"/>
  <c r="AH153" i="1" s="1"/>
  <c r="V149" i="1"/>
  <c r="W149" i="1" s="1"/>
  <c r="X149" i="1" s="1"/>
  <c r="AF149" i="1"/>
  <c r="AG149" i="1" s="1"/>
  <c r="AH149" i="1" s="1"/>
  <c r="V145" i="1"/>
  <c r="W145" i="1" s="1"/>
  <c r="X145" i="1" s="1"/>
  <c r="AF145" i="1"/>
  <c r="AG145" i="1" s="1"/>
  <c r="AH145" i="1" s="1"/>
  <c r="V141" i="1"/>
  <c r="W141" i="1" s="1"/>
  <c r="X141" i="1" s="1"/>
  <c r="AF141" i="1"/>
  <c r="AG141" i="1" s="1"/>
  <c r="AH141" i="1" s="1"/>
  <c r="V137" i="1"/>
  <c r="W137" i="1" s="1"/>
  <c r="X137" i="1" s="1"/>
  <c r="AF137" i="1"/>
  <c r="AG137" i="1" s="1"/>
  <c r="AH137" i="1" s="1"/>
  <c r="V133" i="1"/>
  <c r="W133" i="1" s="1"/>
  <c r="X133" i="1" s="1"/>
  <c r="AF133" i="1"/>
  <c r="AG133" i="1" s="1"/>
  <c r="AH133" i="1" s="1"/>
  <c r="V129" i="1"/>
  <c r="W129" i="1" s="1"/>
  <c r="X129" i="1" s="1"/>
  <c r="AF129" i="1"/>
  <c r="AG129" i="1" s="1"/>
  <c r="AH129" i="1" s="1"/>
  <c r="V125" i="1"/>
  <c r="W125" i="1" s="1"/>
  <c r="X125" i="1" s="1"/>
  <c r="AF125" i="1"/>
  <c r="AG125" i="1" s="1"/>
  <c r="AH125" i="1" s="1"/>
  <c r="V121" i="1"/>
  <c r="W121" i="1" s="1"/>
  <c r="X121" i="1" s="1"/>
  <c r="AF121" i="1"/>
  <c r="AG121" i="1" s="1"/>
  <c r="AH121" i="1" s="1"/>
  <c r="V117" i="1"/>
  <c r="W117" i="1" s="1"/>
  <c r="X117" i="1" s="1"/>
  <c r="AF117" i="1"/>
  <c r="AG117" i="1" s="1"/>
  <c r="AH117" i="1" s="1"/>
  <c r="V113" i="1"/>
  <c r="W113" i="1" s="1"/>
  <c r="X113" i="1" s="1"/>
  <c r="AF113" i="1"/>
  <c r="AG113" i="1" s="1"/>
  <c r="AH113" i="1" s="1"/>
  <c r="V109" i="1"/>
  <c r="W109" i="1" s="1"/>
  <c r="X109" i="1" s="1"/>
  <c r="AF109" i="1"/>
  <c r="AG109" i="1" s="1"/>
  <c r="AH109" i="1" s="1"/>
  <c r="V105" i="1"/>
  <c r="W105" i="1" s="1"/>
  <c r="X105" i="1" s="1"/>
  <c r="AF105" i="1"/>
  <c r="AG105" i="1" s="1"/>
  <c r="AH105" i="1" s="1"/>
  <c r="V101" i="1"/>
  <c r="W101" i="1" s="1"/>
  <c r="X101" i="1" s="1"/>
  <c r="AF101" i="1"/>
  <c r="AG101" i="1" s="1"/>
  <c r="AH101" i="1" s="1"/>
  <c r="V97" i="1"/>
  <c r="W97" i="1" s="1"/>
  <c r="X97" i="1" s="1"/>
  <c r="AF97" i="1"/>
  <c r="AG97" i="1" s="1"/>
  <c r="AH97" i="1" s="1"/>
  <c r="V93" i="1"/>
  <c r="W93" i="1" s="1"/>
  <c r="X93" i="1" s="1"/>
  <c r="AF93" i="1"/>
  <c r="AG93" i="1" s="1"/>
  <c r="AH93" i="1" s="1"/>
  <c r="V89" i="1"/>
  <c r="W89" i="1" s="1"/>
  <c r="X89" i="1" s="1"/>
  <c r="AF89" i="1"/>
  <c r="AG89" i="1" s="1"/>
  <c r="AH89" i="1" s="1"/>
  <c r="V85" i="1"/>
  <c r="W85" i="1" s="1"/>
  <c r="X85" i="1" s="1"/>
  <c r="AF85" i="1"/>
  <c r="AG85" i="1" s="1"/>
  <c r="AH85" i="1" s="1"/>
  <c r="V81" i="1"/>
  <c r="W81" i="1" s="1"/>
  <c r="X81" i="1" s="1"/>
  <c r="AF81" i="1"/>
  <c r="AG81" i="1" s="1"/>
  <c r="AH81" i="1" s="1"/>
  <c r="V77" i="1"/>
  <c r="W77" i="1" s="1"/>
  <c r="X77" i="1" s="1"/>
  <c r="AF77" i="1"/>
  <c r="AG77" i="1" s="1"/>
  <c r="AH77" i="1" s="1"/>
  <c r="V73" i="1"/>
  <c r="W73" i="1" s="1"/>
  <c r="X73" i="1" s="1"/>
  <c r="AF73" i="1"/>
  <c r="AG73" i="1" s="1"/>
  <c r="AH73" i="1" s="1"/>
  <c r="V69" i="1"/>
  <c r="W69" i="1" s="1"/>
  <c r="X69" i="1" s="1"/>
  <c r="AF69" i="1"/>
  <c r="AG69" i="1" s="1"/>
  <c r="AH69" i="1" s="1"/>
  <c r="V65" i="1"/>
  <c r="W65" i="1" s="1"/>
  <c r="X65" i="1" s="1"/>
  <c r="AF65" i="1"/>
  <c r="AG65" i="1" s="1"/>
  <c r="AH65" i="1" s="1"/>
  <c r="V57" i="1"/>
  <c r="W57" i="1" s="1"/>
  <c r="X57" i="1" s="1"/>
  <c r="AF57" i="1"/>
  <c r="AG57" i="1" s="1"/>
  <c r="AH57" i="1" s="1"/>
  <c r="V45" i="1"/>
  <c r="W45" i="1" s="1"/>
  <c r="X45" i="1" s="1"/>
  <c r="AF45" i="1"/>
  <c r="AG45" i="1" s="1"/>
  <c r="AH45" i="1" s="1"/>
  <c r="V33" i="1"/>
  <c r="W33" i="1" s="1"/>
  <c r="X33" i="1" s="1"/>
  <c r="AF33" i="1"/>
  <c r="AG33" i="1" s="1"/>
  <c r="AH33" i="1" s="1"/>
  <c r="V21" i="1"/>
  <c r="W21" i="1" s="1"/>
  <c r="X21" i="1" s="1"/>
  <c r="AF21" i="1"/>
  <c r="AG21" i="1" s="1"/>
  <c r="AH21" i="1" s="1"/>
  <c r="V9" i="1"/>
  <c r="W9" i="1" s="1"/>
  <c r="X9" i="1" s="1"/>
  <c r="AF9" i="1"/>
  <c r="AG9" i="1" s="1"/>
  <c r="AH9" i="1" s="1"/>
  <c r="V112" i="1"/>
  <c r="W112" i="1" s="1"/>
  <c r="X112" i="1" s="1"/>
  <c r="AF112" i="1"/>
  <c r="AG112" i="1" s="1"/>
  <c r="AH112" i="1" s="1"/>
  <c r="V108" i="1"/>
  <c r="W108" i="1" s="1"/>
  <c r="X108" i="1" s="1"/>
  <c r="AF108" i="1"/>
  <c r="AG108" i="1" s="1"/>
  <c r="AH108" i="1" s="1"/>
  <c r="V104" i="1"/>
  <c r="W104" i="1" s="1"/>
  <c r="X104" i="1" s="1"/>
  <c r="AF104" i="1"/>
  <c r="AG104" i="1" s="1"/>
  <c r="AH104" i="1" s="1"/>
  <c r="V100" i="1"/>
  <c r="W100" i="1" s="1"/>
  <c r="X100" i="1" s="1"/>
  <c r="AF100" i="1"/>
  <c r="AG100" i="1" s="1"/>
  <c r="AH100" i="1" s="1"/>
  <c r="V96" i="1"/>
  <c r="W96" i="1" s="1"/>
  <c r="X96" i="1" s="1"/>
  <c r="AF96" i="1"/>
  <c r="AG96" i="1" s="1"/>
  <c r="AH96" i="1" s="1"/>
  <c r="V92" i="1"/>
  <c r="W92" i="1" s="1"/>
  <c r="X92" i="1" s="1"/>
  <c r="AF92" i="1"/>
  <c r="AG92" i="1" s="1"/>
  <c r="AH92" i="1" s="1"/>
  <c r="V88" i="1"/>
  <c r="W88" i="1" s="1"/>
  <c r="X88" i="1" s="1"/>
  <c r="AF88" i="1"/>
  <c r="AG88" i="1" s="1"/>
  <c r="AH88" i="1" s="1"/>
  <c r="V84" i="1"/>
  <c r="W84" i="1" s="1"/>
  <c r="X84" i="1" s="1"/>
  <c r="AF84" i="1"/>
  <c r="AG84" i="1" s="1"/>
  <c r="AH84" i="1" s="1"/>
  <c r="V80" i="1"/>
  <c r="W80" i="1" s="1"/>
  <c r="X80" i="1" s="1"/>
  <c r="AF80" i="1"/>
  <c r="AG80" i="1" s="1"/>
  <c r="AH80" i="1" s="1"/>
  <c r="V76" i="1"/>
  <c r="W76" i="1" s="1"/>
  <c r="X76" i="1" s="1"/>
  <c r="AF76" i="1"/>
  <c r="AG76" i="1" s="1"/>
  <c r="AH76" i="1" s="1"/>
  <c r="V72" i="1"/>
  <c r="W72" i="1" s="1"/>
  <c r="X72" i="1" s="1"/>
  <c r="AF72" i="1"/>
  <c r="AG72" i="1" s="1"/>
  <c r="AH72" i="1" s="1"/>
  <c r="V68" i="1"/>
  <c r="W68" i="1" s="1"/>
  <c r="X68" i="1" s="1"/>
  <c r="AF68" i="1"/>
  <c r="AG68" i="1" s="1"/>
  <c r="AH68" i="1" s="1"/>
  <c r="V64" i="1"/>
  <c r="W64" i="1" s="1"/>
  <c r="X64" i="1" s="1"/>
  <c r="AF64" i="1"/>
  <c r="AG64" i="1" s="1"/>
  <c r="AH64" i="1" s="1"/>
  <c r="V60" i="1"/>
  <c r="W60" i="1" s="1"/>
  <c r="X60" i="1" s="1"/>
  <c r="AF60" i="1"/>
  <c r="AG60" i="1" s="1"/>
  <c r="AH60" i="1" s="1"/>
  <c r="V56" i="1"/>
  <c r="W56" i="1" s="1"/>
  <c r="X56" i="1" s="1"/>
  <c r="AF56" i="1"/>
  <c r="AG56" i="1" s="1"/>
  <c r="AH56" i="1" s="1"/>
  <c r="V52" i="1"/>
  <c r="W52" i="1" s="1"/>
  <c r="X52" i="1" s="1"/>
  <c r="AF52" i="1"/>
  <c r="AG52" i="1" s="1"/>
  <c r="AH52" i="1" s="1"/>
  <c r="V48" i="1"/>
  <c r="W48" i="1" s="1"/>
  <c r="X48" i="1" s="1"/>
  <c r="AF48" i="1"/>
  <c r="AG48" i="1" s="1"/>
  <c r="AH48" i="1" s="1"/>
  <c r="V44" i="1"/>
  <c r="W44" i="1" s="1"/>
  <c r="X44" i="1" s="1"/>
  <c r="AF44" i="1"/>
  <c r="AG44" i="1" s="1"/>
  <c r="AH44" i="1" s="1"/>
  <c r="V40" i="1"/>
  <c r="W40" i="1" s="1"/>
  <c r="X40" i="1" s="1"/>
  <c r="AF40" i="1"/>
  <c r="AG40" i="1" s="1"/>
  <c r="AH40" i="1" s="1"/>
  <c r="V36" i="1"/>
  <c r="W36" i="1" s="1"/>
  <c r="X36" i="1" s="1"/>
  <c r="AF36" i="1"/>
  <c r="AG36" i="1" s="1"/>
  <c r="AH36" i="1" s="1"/>
  <c r="V32" i="1"/>
  <c r="W32" i="1" s="1"/>
  <c r="X32" i="1" s="1"/>
  <c r="AF32" i="1"/>
  <c r="AG32" i="1" s="1"/>
  <c r="AH32" i="1" s="1"/>
  <c r="V28" i="1"/>
  <c r="W28" i="1" s="1"/>
  <c r="X28" i="1" s="1"/>
  <c r="AF28" i="1"/>
  <c r="AG28" i="1" s="1"/>
  <c r="AH28" i="1" s="1"/>
  <c r="V24" i="1"/>
  <c r="W24" i="1" s="1"/>
  <c r="X24" i="1" s="1"/>
  <c r="AF24" i="1"/>
  <c r="AG24" i="1" s="1"/>
  <c r="AH24" i="1" s="1"/>
  <c r="V20" i="1"/>
  <c r="W20" i="1" s="1"/>
  <c r="X20" i="1" s="1"/>
  <c r="AF20" i="1"/>
  <c r="AG20" i="1" s="1"/>
  <c r="AH20" i="1" s="1"/>
  <c r="V16" i="1"/>
  <c r="W16" i="1" s="1"/>
  <c r="X16" i="1" s="1"/>
  <c r="AF16" i="1"/>
  <c r="AG16" i="1" s="1"/>
  <c r="AH16" i="1" s="1"/>
  <c r="V12" i="1"/>
  <c r="W12" i="1" s="1"/>
  <c r="X12" i="1" s="1"/>
  <c r="AF12" i="1"/>
  <c r="AG12" i="1" s="1"/>
  <c r="AH12" i="1" s="1"/>
  <c r="V8" i="1"/>
  <c r="W8" i="1" s="1"/>
  <c r="X8" i="1" s="1"/>
  <c r="AF8" i="1"/>
  <c r="AG8" i="1" s="1"/>
  <c r="AH8" i="1" s="1"/>
  <c r="V4" i="1"/>
  <c r="W4" i="1" s="1"/>
  <c r="X4" i="1" s="1"/>
  <c r="AF4" i="1"/>
  <c r="AG4" i="1" s="1"/>
  <c r="AH4" i="1" s="1"/>
  <c r="AF172" i="1"/>
  <c r="AG172" i="1" s="1"/>
  <c r="AH172" i="1" s="1"/>
  <c r="AF164" i="1"/>
  <c r="AG164" i="1" s="1"/>
  <c r="AH164" i="1" s="1"/>
  <c r="AF156" i="1"/>
  <c r="AG156" i="1" s="1"/>
  <c r="AH156" i="1" s="1"/>
  <c r="AF148" i="1"/>
  <c r="AG148" i="1" s="1"/>
  <c r="AH148" i="1" s="1"/>
  <c r="AF140" i="1"/>
  <c r="AG140" i="1" s="1"/>
  <c r="AH140" i="1" s="1"/>
  <c r="AF132" i="1"/>
  <c r="AG132" i="1" s="1"/>
  <c r="AH132" i="1" s="1"/>
  <c r="AF124" i="1"/>
  <c r="AG124" i="1" s="1"/>
  <c r="AH124" i="1" s="1"/>
  <c r="AF118" i="1"/>
  <c r="AG118" i="1" s="1"/>
  <c r="AH118" i="1" s="1"/>
  <c r="V53" i="1"/>
  <c r="W53" i="1" s="1"/>
  <c r="X53" i="1" s="1"/>
  <c r="AF53" i="1"/>
  <c r="AG53" i="1" s="1"/>
  <c r="AH53" i="1" s="1"/>
  <c r="V41" i="1"/>
  <c r="W41" i="1" s="1"/>
  <c r="X41" i="1" s="1"/>
  <c r="AF41" i="1"/>
  <c r="AG41" i="1" s="1"/>
  <c r="AH41" i="1" s="1"/>
  <c r="V29" i="1"/>
  <c r="W29" i="1" s="1"/>
  <c r="X29" i="1" s="1"/>
  <c r="AF29" i="1"/>
  <c r="AG29" i="1" s="1"/>
  <c r="AH29" i="1" s="1"/>
  <c r="V17" i="1"/>
  <c r="W17" i="1" s="1"/>
  <c r="X17" i="1" s="1"/>
  <c r="AF17" i="1"/>
  <c r="AG17" i="1" s="1"/>
  <c r="AH17" i="1" s="1"/>
  <c r="V5" i="1"/>
  <c r="W5" i="1" s="1"/>
  <c r="X5" i="1" s="1"/>
  <c r="AF5" i="1"/>
  <c r="AG5" i="1" s="1"/>
  <c r="AH5" i="1" s="1"/>
  <c r="V171" i="1"/>
  <c r="W171" i="1" s="1"/>
  <c r="X171" i="1" s="1"/>
  <c r="AF171" i="1"/>
  <c r="AG171" i="1" s="1"/>
  <c r="AH171" i="1" s="1"/>
  <c r="V167" i="1"/>
  <c r="W167" i="1" s="1"/>
  <c r="X167" i="1" s="1"/>
  <c r="AF167" i="1"/>
  <c r="AG167" i="1" s="1"/>
  <c r="AH167" i="1" s="1"/>
  <c r="V163" i="1"/>
  <c r="W163" i="1" s="1"/>
  <c r="X163" i="1" s="1"/>
  <c r="AF163" i="1"/>
  <c r="AG163" i="1" s="1"/>
  <c r="AH163" i="1" s="1"/>
  <c r="V159" i="1"/>
  <c r="W159" i="1" s="1"/>
  <c r="X159" i="1" s="1"/>
  <c r="AF159" i="1"/>
  <c r="AG159" i="1" s="1"/>
  <c r="AH159" i="1" s="1"/>
  <c r="V155" i="1"/>
  <c r="W155" i="1" s="1"/>
  <c r="X155" i="1" s="1"/>
  <c r="AF155" i="1"/>
  <c r="AG155" i="1" s="1"/>
  <c r="AH155" i="1" s="1"/>
  <c r="V151" i="1"/>
  <c r="W151" i="1" s="1"/>
  <c r="X151" i="1" s="1"/>
  <c r="AF151" i="1"/>
  <c r="AG151" i="1" s="1"/>
  <c r="AH151" i="1" s="1"/>
  <c r="V147" i="1"/>
  <c r="W147" i="1" s="1"/>
  <c r="X147" i="1" s="1"/>
  <c r="AF147" i="1"/>
  <c r="AG147" i="1" s="1"/>
  <c r="AH147" i="1" s="1"/>
  <c r="V143" i="1"/>
  <c r="W143" i="1" s="1"/>
  <c r="X143" i="1" s="1"/>
  <c r="AF143" i="1"/>
  <c r="AG143" i="1" s="1"/>
  <c r="AH143" i="1" s="1"/>
  <c r="V139" i="1"/>
  <c r="W139" i="1" s="1"/>
  <c r="X139" i="1" s="1"/>
  <c r="AF139" i="1"/>
  <c r="AG139" i="1" s="1"/>
  <c r="AH139" i="1" s="1"/>
  <c r="V135" i="1"/>
  <c r="W135" i="1" s="1"/>
  <c r="X135" i="1" s="1"/>
  <c r="AF135" i="1"/>
  <c r="AG135" i="1" s="1"/>
  <c r="AH135" i="1" s="1"/>
  <c r="V131" i="1"/>
  <c r="W131" i="1" s="1"/>
  <c r="X131" i="1" s="1"/>
  <c r="AF131" i="1"/>
  <c r="AG131" i="1" s="1"/>
  <c r="AH131" i="1" s="1"/>
  <c r="V127" i="1"/>
  <c r="W127" i="1" s="1"/>
  <c r="X127" i="1" s="1"/>
  <c r="AF127" i="1"/>
  <c r="AG127" i="1" s="1"/>
  <c r="AH127" i="1" s="1"/>
  <c r="V123" i="1"/>
  <c r="W123" i="1" s="1"/>
  <c r="X123" i="1" s="1"/>
  <c r="AF123" i="1"/>
  <c r="AG123" i="1" s="1"/>
  <c r="AH123" i="1" s="1"/>
  <c r="V119" i="1"/>
  <c r="W119" i="1" s="1"/>
  <c r="X119" i="1" s="1"/>
  <c r="AF119" i="1"/>
  <c r="AG119" i="1" s="1"/>
  <c r="AH119" i="1" s="1"/>
  <c r="V115" i="1"/>
  <c r="W115" i="1" s="1"/>
  <c r="X115" i="1" s="1"/>
  <c r="AF115" i="1"/>
  <c r="AG115" i="1" s="1"/>
  <c r="AH115" i="1" s="1"/>
  <c r="V111" i="1"/>
  <c r="W111" i="1" s="1"/>
  <c r="X111" i="1" s="1"/>
  <c r="AF111" i="1"/>
  <c r="AG111" i="1" s="1"/>
  <c r="AH111" i="1" s="1"/>
  <c r="V107" i="1"/>
  <c r="W107" i="1" s="1"/>
  <c r="X107" i="1" s="1"/>
  <c r="AF107" i="1"/>
  <c r="AG107" i="1" s="1"/>
  <c r="AH107" i="1" s="1"/>
  <c r="V103" i="1"/>
  <c r="W103" i="1" s="1"/>
  <c r="X103" i="1" s="1"/>
  <c r="AF103" i="1"/>
  <c r="AG103" i="1" s="1"/>
  <c r="AH103" i="1" s="1"/>
  <c r="V99" i="1"/>
  <c r="W99" i="1" s="1"/>
  <c r="X99" i="1" s="1"/>
  <c r="AF99" i="1"/>
  <c r="AG99" i="1" s="1"/>
  <c r="AH99" i="1" s="1"/>
  <c r="V95" i="1"/>
  <c r="W95" i="1" s="1"/>
  <c r="X95" i="1" s="1"/>
  <c r="AF95" i="1"/>
  <c r="AG95" i="1" s="1"/>
  <c r="AH95" i="1" s="1"/>
  <c r="V91" i="1"/>
  <c r="W91" i="1" s="1"/>
  <c r="X91" i="1" s="1"/>
  <c r="AF91" i="1"/>
  <c r="AG91" i="1" s="1"/>
  <c r="AH91" i="1" s="1"/>
  <c r="V87" i="1"/>
  <c r="W87" i="1" s="1"/>
  <c r="X87" i="1" s="1"/>
  <c r="AF87" i="1"/>
  <c r="AG87" i="1" s="1"/>
  <c r="AH87" i="1" s="1"/>
  <c r="V83" i="1"/>
  <c r="W83" i="1" s="1"/>
  <c r="X83" i="1" s="1"/>
  <c r="AF83" i="1"/>
  <c r="AG83" i="1" s="1"/>
  <c r="AH83" i="1" s="1"/>
  <c r="V79" i="1"/>
  <c r="W79" i="1" s="1"/>
  <c r="X79" i="1" s="1"/>
  <c r="AF79" i="1"/>
  <c r="AG79" i="1" s="1"/>
  <c r="AH79" i="1" s="1"/>
  <c r="V75" i="1"/>
  <c r="W75" i="1" s="1"/>
  <c r="X75" i="1" s="1"/>
  <c r="AF75" i="1"/>
  <c r="AG75" i="1" s="1"/>
  <c r="AH75" i="1" s="1"/>
  <c r="V71" i="1"/>
  <c r="W71" i="1" s="1"/>
  <c r="X71" i="1" s="1"/>
  <c r="AF71" i="1"/>
  <c r="AG71" i="1" s="1"/>
  <c r="AH71" i="1" s="1"/>
  <c r="V67" i="1"/>
  <c r="W67" i="1" s="1"/>
  <c r="X67" i="1" s="1"/>
  <c r="AF67" i="1"/>
  <c r="AG67" i="1" s="1"/>
  <c r="AH67" i="1" s="1"/>
  <c r="V63" i="1"/>
  <c r="W63" i="1" s="1"/>
  <c r="X63" i="1" s="1"/>
  <c r="AF63" i="1"/>
  <c r="AG63" i="1" s="1"/>
  <c r="AH63" i="1" s="1"/>
  <c r="V59" i="1"/>
  <c r="W59" i="1" s="1"/>
  <c r="X59" i="1" s="1"/>
  <c r="AF59" i="1"/>
  <c r="AG59" i="1" s="1"/>
  <c r="AH59" i="1" s="1"/>
  <c r="V55" i="1"/>
  <c r="W55" i="1" s="1"/>
  <c r="X55" i="1" s="1"/>
  <c r="AF55" i="1"/>
  <c r="AG55" i="1" s="1"/>
  <c r="AH55" i="1" s="1"/>
  <c r="V51" i="1"/>
  <c r="W51" i="1" s="1"/>
  <c r="X51" i="1" s="1"/>
  <c r="AF51" i="1"/>
  <c r="AG51" i="1" s="1"/>
  <c r="AH51" i="1" s="1"/>
  <c r="V47" i="1"/>
  <c r="W47" i="1" s="1"/>
  <c r="X47" i="1" s="1"/>
  <c r="AF47" i="1"/>
  <c r="AG47" i="1" s="1"/>
  <c r="AH47" i="1" s="1"/>
  <c r="V43" i="1"/>
  <c r="W43" i="1" s="1"/>
  <c r="X43" i="1" s="1"/>
  <c r="AF43" i="1"/>
  <c r="AG43" i="1" s="1"/>
  <c r="AH43" i="1" s="1"/>
  <c r="V39" i="1"/>
  <c r="W39" i="1" s="1"/>
  <c r="X39" i="1" s="1"/>
  <c r="AF39" i="1"/>
  <c r="AG39" i="1" s="1"/>
  <c r="AH39" i="1" s="1"/>
  <c r="V35" i="1"/>
  <c r="W35" i="1" s="1"/>
  <c r="X35" i="1" s="1"/>
  <c r="AF35" i="1"/>
  <c r="AG35" i="1" s="1"/>
  <c r="AH35" i="1" s="1"/>
  <c r="V31" i="1"/>
  <c r="W31" i="1" s="1"/>
  <c r="X31" i="1" s="1"/>
  <c r="AF31" i="1"/>
  <c r="AG31" i="1" s="1"/>
  <c r="AH31" i="1" s="1"/>
  <c r="V27" i="1"/>
  <c r="W27" i="1" s="1"/>
  <c r="X27" i="1" s="1"/>
  <c r="AF27" i="1"/>
  <c r="AG27" i="1" s="1"/>
  <c r="AH27" i="1" s="1"/>
  <c r="V23" i="1"/>
  <c r="W23" i="1" s="1"/>
  <c r="X23" i="1" s="1"/>
  <c r="AF23" i="1"/>
  <c r="AG23" i="1" s="1"/>
  <c r="AH23" i="1" s="1"/>
  <c r="V19" i="1"/>
  <c r="W19" i="1" s="1"/>
  <c r="X19" i="1" s="1"/>
  <c r="AF19" i="1"/>
  <c r="AG19" i="1" s="1"/>
  <c r="AH19" i="1" s="1"/>
  <c r="V15" i="1"/>
  <c r="W15" i="1" s="1"/>
  <c r="X15" i="1" s="1"/>
  <c r="AF15" i="1"/>
  <c r="AG15" i="1" s="1"/>
  <c r="AH15" i="1" s="1"/>
  <c r="V11" i="1"/>
  <c r="W11" i="1" s="1"/>
  <c r="X11" i="1" s="1"/>
  <c r="AF11" i="1"/>
  <c r="AG11" i="1" s="1"/>
  <c r="AH11" i="1" s="1"/>
  <c r="V7" i="1"/>
  <c r="W7" i="1" s="1"/>
  <c r="X7" i="1" s="1"/>
  <c r="AF7" i="1"/>
  <c r="AG7" i="1" s="1"/>
  <c r="AH7" i="1" s="1"/>
  <c r="AF206" i="1"/>
  <c r="AG206" i="1" s="1"/>
  <c r="AH206" i="1" s="1"/>
  <c r="AF204" i="1"/>
  <c r="AG204" i="1" s="1"/>
  <c r="AH204" i="1" s="1"/>
  <c r="AF202" i="1"/>
  <c r="AG202" i="1" s="1"/>
  <c r="AH202" i="1" s="1"/>
  <c r="AF200" i="1"/>
  <c r="AG200" i="1" s="1"/>
  <c r="AH200" i="1" s="1"/>
  <c r="AF198" i="1"/>
  <c r="AG198" i="1" s="1"/>
  <c r="AH198" i="1" s="1"/>
  <c r="AF196" i="1"/>
  <c r="AG196" i="1" s="1"/>
  <c r="AH196" i="1" s="1"/>
  <c r="AF194" i="1"/>
  <c r="AG194" i="1" s="1"/>
  <c r="AH194" i="1" s="1"/>
  <c r="AF192" i="1"/>
  <c r="AG192" i="1" s="1"/>
  <c r="AH192" i="1" s="1"/>
  <c r="AF190" i="1"/>
  <c r="AG190" i="1" s="1"/>
  <c r="AH190" i="1" s="1"/>
  <c r="AF188" i="1"/>
  <c r="AG188" i="1" s="1"/>
  <c r="AH188" i="1" s="1"/>
  <c r="AF186" i="1"/>
  <c r="AG186" i="1" s="1"/>
  <c r="AH186" i="1" s="1"/>
  <c r="AF184" i="1"/>
  <c r="AG184" i="1" s="1"/>
  <c r="AH184" i="1" s="1"/>
  <c r="AF182" i="1"/>
  <c r="AG182" i="1" s="1"/>
  <c r="AH182" i="1" s="1"/>
  <c r="AF180" i="1"/>
  <c r="AG180" i="1" s="1"/>
  <c r="AH180" i="1" s="1"/>
  <c r="AF178" i="1"/>
  <c r="AG178" i="1" s="1"/>
  <c r="AH178" i="1" s="1"/>
  <c r="AF176" i="1"/>
  <c r="AG176" i="1" s="1"/>
  <c r="AH176" i="1" s="1"/>
  <c r="AF174" i="1"/>
  <c r="AG174" i="1" s="1"/>
  <c r="AH174" i="1" s="1"/>
  <c r="AF166" i="1"/>
  <c r="AG166" i="1" s="1"/>
  <c r="AH166" i="1" s="1"/>
  <c r="AF158" i="1"/>
  <c r="AG158" i="1" s="1"/>
  <c r="AH158" i="1" s="1"/>
  <c r="AF150" i="1"/>
  <c r="AG150" i="1" s="1"/>
  <c r="AH150" i="1" s="1"/>
  <c r="AF142" i="1"/>
  <c r="AG142" i="1" s="1"/>
  <c r="AH142" i="1" s="1"/>
  <c r="AF134" i="1"/>
  <c r="AG134" i="1" s="1"/>
  <c r="AH134" i="1" s="1"/>
  <c r="AF126" i="1"/>
  <c r="AG126" i="1" s="1"/>
  <c r="AH126" i="1" s="1"/>
  <c r="V61" i="1"/>
  <c r="W61" i="1" s="1"/>
  <c r="X61" i="1" s="1"/>
  <c r="AF61" i="1"/>
  <c r="AG61" i="1" s="1"/>
  <c r="AH61" i="1" s="1"/>
  <c r="V49" i="1"/>
  <c r="W49" i="1" s="1"/>
  <c r="X49" i="1" s="1"/>
  <c r="AF49" i="1"/>
  <c r="AG49" i="1" s="1"/>
  <c r="AH49" i="1" s="1"/>
  <c r="V37" i="1"/>
  <c r="W37" i="1" s="1"/>
  <c r="X37" i="1" s="1"/>
  <c r="AF37" i="1"/>
  <c r="AG37" i="1" s="1"/>
  <c r="AH37" i="1" s="1"/>
  <c r="V25" i="1"/>
  <c r="W25" i="1" s="1"/>
  <c r="X25" i="1" s="1"/>
  <c r="AF25" i="1"/>
  <c r="AG25" i="1" s="1"/>
  <c r="AH25" i="1" s="1"/>
  <c r="V13" i="1"/>
  <c r="W13" i="1" s="1"/>
  <c r="X13" i="1" s="1"/>
  <c r="AF13" i="1"/>
  <c r="AG13" i="1" s="1"/>
  <c r="AH13" i="1" s="1"/>
  <c r="V114" i="1"/>
  <c r="W114" i="1" s="1"/>
  <c r="X114" i="1" s="1"/>
  <c r="AF114" i="1"/>
  <c r="AG114" i="1" s="1"/>
  <c r="AH114" i="1" s="1"/>
  <c r="V110" i="1"/>
  <c r="W110" i="1" s="1"/>
  <c r="X110" i="1" s="1"/>
  <c r="AF110" i="1"/>
  <c r="AG110" i="1" s="1"/>
  <c r="AH110" i="1" s="1"/>
  <c r="V106" i="1"/>
  <c r="W106" i="1" s="1"/>
  <c r="X106" i="1" s="1"/>
  <c r="AF106" i="1"/>
  <c r="AG106" i="1" s="1"/>
  <c r="AH106" i="1" s="1"/>
  <c r="V102" i="1"/>
  <c r="W102" i="1" s="1"/>
  <c r="X102" i="1" s="1"/>
  <c r="AF102" i="1"/>
  <c r="AG102" i="1" s="1"/>
  <c r="AH102" i="1" s="1"/>
  <c r="V98" i="1"/>
  <c r="W98" i="1" s="1"/>
  <c r="X98" i="1" s="1"/>
  <c r="AF98" i="1"/>
  <c r="AG98" i="1" s="1"/>
  <c r="AH98" i="1" s="1"/>
  <c r="V94" i="1"/>
  <c r="W94" i="1" s="1"/>
  <c r="X94" i="1" s="1"/>
  <c r="AF94" i="1"/>
  <c r="AG94" i="1" s="1"/>
  <c r="AH94" i="1" s="1"/>
  <c r="V90" i="1"/>
  <c r="W90" i="1" s="1"/>
  <c r="X90" i="1" s="1"/>
  <c r="AF90" i="1"/>
  <c r="AG90" i="1" s="1"/>
  <c r="AH90" i="1" s="1"/>
  <c r="V86" i="1"/>
  <c r="W86" i="1" s="1"/>
  <c r="X86" i="1" s="1"/>
  <c r="AF86" i="1"/>
  <c r="AG86" i="1" s="1"/>
  <c r="AH86" i="1" s="1"/>
  <c r="V82" i="1"/>
  <c r="W82" i="1" s="1"/>
  <c r="X82" i="1" s="1"/>
  <c r="AF82" i="1"/>
  <c r="AG82" i="1" s="1"/>
  <c r="AH82" i="1" s="1"/>
  <c r="V78" i="1"/>
  <c r="W78" i="1" s="1"/>
  <c r="X78" i="1" s="1"/>
  <c r="AF78" i="1"/>
  <c r="AG78" i="1" s="1"/>
  <c r="AH78" i="1" s="1"/>
  <c r="V74" i="1"/>
  <c r="W74" i="1" s="1"/>
  <c r="X74" i="1" s="1"/>
  <c r="AF74" i="1"/>
  <c r="AG74" i="1" s="1"/>
  <c r="AH74" i="1" s="1"/>
  <c r="V70" i="1"/>
  <c r="W70" i="1" s="1"/>
  <c r="X70" i="1" s="1"/>
  <c r="AF70" i="1"/>
  <c r="AG70" i="1" s="1"/>
  <c r="AH70" i="1" s="1"/>
  <c r="V66" i="1"/>
  <c r="W66" i="1" s="1"/>
  <c r="X66" i="1" s="1"/>
  <c r="AF66" i="1"/>
  <c r="AG66" i="1" s="1"/>
  <c r="AH66" i="1" s="1"/>
  <c r="V62" i="1"/>
  <c r="W62" i="1" s="1"/>
  <c r="X62" i="1" s="1"/>
  <c r="AF62" i="1"/>
  <c r="AG62" i="1" s="1"/>
  <c r="AH62" i="1" s="1"/>
  <c r="V58" i="1"/>
  <c r="W58" i="1" s="1"/>
  <c r="X58" i="1" s="1"/>
  <c r="AF58" i="1"/>
  <c r="AG58" i="1" s="1"/>
  <c r="AH58" i="1" s="1"/>
  <c r="V54" i="1"/>
  <c r="W54" i="1" s="1"/>
  <c r="X54" i="1" s="1"/>
  <c r="AF54" i="1"/>
  <c r="AG54" i="1" s="1"/>
  <c r="AH54" i="1" s="1"/>
  <c r="V50" i="1"/>
  <c r="W50" i="1" s="1"/>
  <c r="X50" i="1" s="1"/>
  <c r="AF50" i="1"/>
  <c r="AG50" i="1" s="1"/>
  <c r="AH50" i="1" s="1"/>
  <c r="V46" i="1"/>
  <c r="W46" i="1" s="1"/>
  <c r="X46" i="1" s="1"/>
  <c r="AF46" i="1"/>
  <c r="AG46" i="1" s="1"/>
  <c r="AH46" i="1" s="1"/>
  <c r="V42" i="1"/>
  <c r="W42" i="1" s="1"/>
  <c r="X42" i="1" s="1"/>
  <c r="AF42" i="1"/>
  <c r="AG42" i="1" s="1"/>
  <c r="AH42" i="1" s="1"/>
  <c r="V38" i="1"/>
  <c r="W38" i="1" s="1"/>
  <c r="X38" i="1" s="1"/>
  <c r="AF38" i="1"/>
  <c r="AG38" i="1" s="1"/>
  <c r="AH38" i="1" s="1"/>
  <c r="V34" i="1"/>
  <c r="W34" i="1" s="1"/>
  <c r="X34" i="1" s="1"/>
  <c r="AF34" i="1"/>
  <c r="AG34" i="1" s="1"/>
  <c r="AH34" i="1" s="1"/>
  <c r="V30" i="1"/>
  <c r="W30" i="1" s="1"/>
  <c r="X30" i="1" s="1"/>
  <c r="AF30" i="1"/>
  <c r="AG30" i="1" s="1"/>
  <c r="AH30" i="1" s="1"/>
  <c r="V26" i="1"/>
  <c r="W26" i="1" s="1"/>
  <c r="X26" i="1" s="1"/>
  <c r="AF26" i="1"/>
  <c r="AG26" i="1" s="1"/>
  <c r="AH26" i="1" s="1"/>
  <c r="V22" i="1"/>
  <c r="W22" i="1" s="1"/>
  <c r="X22" i="1" s="1"/>
  <c r="AF22" i="1"/>
  <c r="AG22" i="1" s="1"/>
  <c r="AH22" i="1" s="1"/>
  <c r="V18" i="1"/>
  <c r="W18" i="1" s="1"/>
  <c r="X18" i="1" s="1"/>
  <c r="AF18" i="1"/>
  <c r="AG18" i="1" s="1"/>
  <c r="AH18" i="1" s="1"/>
  <c r="V14" i="1"/>
  <c r="W14" i="1" s="1"/>
  <c r="X14" i="1" s="1"/>
  <c r="AF14" i="1"/>
  <c r="AG14" i="1" s="1"/>
  <c r="AH14" i="1" s="1"/>
  <c r="V10" i="1"/>
  <c r="W10" i="1" s="1"/>
  <c r="X10" i="1" s="1"/>
  <c r="AF10" i="1"/>
  <c r="AG10" i="1" s="1"/>
  <c r="AH10" i="1" s="1"/>
  <c r="V6" i="1"/>
  <c r="W6" i="1" s="1"/>
  <c r="X6" i="1" s="1"/>
  <c r="AF6" i="1"/>
  <c r="AG6" i="1" s="1"/>
  <c r="AH6" i="1" s="1"/>
  <c r="AF168" i="1"/>
  <c r="AG168" i="1" s="1"/>
  <c r="AH168" i="1" s="1"/>
  <c r="AF160" i="1"/>
  <c r="AG160" i="1" s="1"/>
  <c r="AH160" i="1" s="1"/>
  <c r="AF152" i="1"/>
  <c r="AG152" i="1" s="1"/>
  <c r="AH152" i="1" s="1"/>
  <c r="AF144" i="1"/>
  <c r="AG144" i="1" s="1"/>
  <c r="AH144" i="1" s="1"/>
  <c r="AF136" i="1"/>
  <c r="AG136" i="1" s="1"/>
  <c r="AH136" i="1" s="1"/>
  <c r="AF128" i="1"/>
  <c r="AG128" i="1" s="1"/>
  <c r="AH128" i="1" s="1"/>
  <c r="AF120" i="1"/>
  <c r="AG120" i="1" s="1"/>
  <c r="AH120" i="1" s="1"/>
  <c r="AE155" i="1"/>
  <c r="AE47" i="1"/>
  <c r="AE203" i="1"/>
  <c r="AE139" i="1"/>
  <c r="AE95" i="1"/>
  <c r="AE31" i="1"/>
  <c r="AE187" i="1"/>
  <c r="AE123" i="1"/>
  <c r="AE79" i="1"/>
  <c r="AE15" i="1"/>
  <c r="AE111" i="1"/>
  <c r="AE171" i="1"/>
  <c r="AE63" i="1"/>
  <c r="AE199" i="1"/>
  <c r="AE183" i="1"/>
  <c r="AE167" i="1"/>
  <c r="AE151" i="1"/>
  <c r="AE135" i="1"/>
  <c r="AE119" i="1"/>
  <c r="AE107" i="1"/>
  <c r="AE91" i="1"/>
  <c r="AE75" i="1"/>
  <c r="AE59" i="1"/>
  <c r="AE43" i="1"/>
  <c r="AE27" i="1"/>
  <c r="AE11" i="1"/>
  <c r="AE195" i="1"/>
  <c r="AE179" i="1"/>
  <c r="AE163" i="1"/>
  <c r="AE147" i="1"/>
  <c r="AE131" i="1"/>
  <c r="AE103" i="1"/>
  <c r="AE87" i="1"/>
  <c r="AE71" i="1"/>
  <c r="AE55" i="1"/>
  <c r="AE39" i="1"/>
  <c r="AE23" i="1"/>
  <c r="AE7" i="1"/>
  <c r="AE207" i="1"/>
  <c r="AE191" i="1"/>
  <c r="AE175" i="1"/>
  <c r="AE159" i="1"/>
  <c r="AE143" i="1"/>
  <c r="AE127" i="1"/>
  <c r="AE115" i="1"/>
  <c r="AE99" i="1"/>
  <c r="AE83" i="1"/>
  <c r="AE67" i="1"/>
  <c r="AE51" i="1"/>
  <c r="AE35" i="1"/>
  <c r="AE19" i="1"/>
  <c r="AE206" i="1"/>
  <c r="AE202" i="1"/>
  <c r="AE198" i="1"/>
  <c r="AE194" i="1"/>
  <c r="AE190" i="1"/>
  <c r="AE186" i="1"/>
  <c r="AE182" i="1"/>
  <c r="AE178" i="1"/>
  <c r="AE174" i="1"/>
  <c r="AE170" i="1"/>
  <c r="AE166" i="1"/>
  <c r="AE162" i="1"/>
  <c r="AE158" i="1"/>
  <c r="AE154" i="1"/>
  <c r="AE150" i="1"/>
  <c r="AE146" i="1"/>
  <c r="AE142" i="1"/>
  <c r="AE138" i="1"/>
  <c r="AE134" i="1"/>
  <c r="AE130" i="1"/>
  <c r="AE126" i="1"/>
  <c r="AE122" i="1"/>
  <c r="AE118" i="1"/>
  <c r="AE114" i="1"/>
  <c r="AE110" i="1"/>
  <c r="AE106" i="1"/>
  <c r="AE102" i="1"/>
  <c r="AE98" i="1"/>
  <c r="AE94" i="1"/>
  <c r="AE90" i="1"/>
  <c r="AE86" i="1"/>
  <c r="AE82" i="1"/>
  <c r="AE78" i="1"/>
  <c r="AE74" i="1"/>
  <c r="AE70" i="1"/>
  <c r="AE66" i="1"/>
  <c r="AE62" i="1"/>
  <c r="AE58" i="1"/>
  <c r="AE54" i="1"/>
  <c r="AE50" i="1"/>
  <c r="AE46" i="1"/>
  <c r="AE42" i="1"/>
  <c r="AE38" i="1"/>
  <c r="AE34" i="1"/>
  <c r="AE30" i="1"/>
  <c r="AE26" i="1"/>
  <c r="AE22" i="1"/>
  <c r="AE18" i="1"/>
  <c r="AE14" i="1"/>
  <c r="AE10" i="1"/>
  <c r="AE6" i="1"/>
  <c r="AE205" i="1"/>
  <c r="AE201" i="1"/>
  <c r="AE197" i="1"/>
  <c r="AE193" i="1"/>
  <c r="AE189" i="1"/>
  <c r="AE185" i="1"/>
  <c r="AE181" i="1"/>
  <c r="AE177" i="1"/>
  <c r="AE173" i="1"/>
  <c r="AE169" i="1"/>
  <c r="AE165" i="1"/>
  <c r="AE161" i="1"/>
  <c r="AE157" i="1"/>
  <c r="AE153" i="1"/>
  <c r="AE149" i="1"/>
  <c r="AE145" i="1"/>
  <c r="AE141" i="1"/>
  <c r="AE137" i="1"/>
  <c r="AE133" i="1"/>
  <c r="AE129" i="1"/>
  <c r="AE125" i="1"/>
  <c r="AE121" i="1"/>
  <c r="AE117" i="1"/>
  <c r="AE113" i="1"/>
  <c r="AE109" i="1"/>
  <c r="AE105" i="1"/>
  <c r="AE101" i="1"/>
  <c r="AE97" i="1"/>
  <c r="AE93" i="1"/>
  <c r="AE89" i="1"/>
  <c r="AE85" i="1"/>
  <c r="AE81" i="1"/>
  <c r="AE77" i="1"/>
  <c r="AE73" i="1"/>
  <c r="AE69" i="1"/>
  <c r="AE65" i="1"/>
  <c r="AE61" i="1"/>
  <c r="AE57" i="1"/>
  <c r="AE53" i="1"/>
  <c r="AE49" i="1"/>
  <c r="AE45" i="1"/>
  <c r="AE41" i="1"/>
  <c r="AE37" i="1"/>
  <c r="AE33" i="1"/>
  <c r="AE29" i="1"/>
  <c r="AE25" i="1"/>
  <c r="AE21" i="1"/>
  <c r="AE17" i="1"/>
  <c r="AE13" i="1"/>
  <c r="AE9" i="1"/>
  <c r="AE5" i="1"/>
  <c r="AE204" i="1"/>
  <c r="AE200" i="1"/>
  <c r="AE196" i="1"/>
  <c r="AE192" i="1"/>
  <c r="AE188" i="1"/>
  <c r="AE184" i="1"/>
  <c r="AE180" i="1"/>
  <c r="AE176" i="1"/>
  <c r="AE172" i="1"/>
  <c r="AE168" i="1"/>
  <c r="AE164" i="1"/>
  <c r="AE160" i="1"/>
  <c r="AE156" i="1"/>
  <c r="AE152" i="1"/>
  <c r="AE148" i="1"/>
  <c r="AE144" i="1"/>
  <c r="AE140" i="1"/>
  <c r="AE136" i="1"/>
  <c r="AE132" i="1"/>
  <c r="AE128" i="1"/>
  <c r="AE124" i="1"/>
  <c r="AE120" i="1"/>
  <c r="AE112" i="1"/>
  <c r="AE108" i="1"/>
  <c r="AE104" i="1"/>
  <c r="AE100" i="1"/>
  <c r="AE96" i="1"/>
  <c r="AE92" i="1"/>
  <c r="AE88" i="1"/>
  <c r="AE84" i="1"/>
  <c r="AE80" i="1"/>
  <c r="AE76" i="1"/>
  <c r="AE72" i="1"/>
  <c r="AE68" i="1"/>
  <c r="AE64" i="1"/>
  <c r="AE60" i="1"/>
  <c r="AE56" i="1"/>
  <c r="AE52" i="1"/>
  <c r="AE48" i="1"/>
  <c r="AE44" i="1"/>
  <c r="AE40" i="1"/>
  <c r="AE36" i="1"/>
  <c r="AE32" i="1"/>
  <c r="AE28" i="1"/>
  <c r="AE24" i="1"/>
  <c r="AE20" i="1"/>
  <c r="AE16" i="1"/>
  <c r="AE12" i="1"/>
  <c r="AE8" i="1"/>
  <c r="AE4" i="1"/>
  <c r="Y116" i="1"/>
  <c r="Z116" i="1" s="1"/>
  <c r="AA116" i="1" s="1"/>
  <c r="Y3" i="1"/>
  <c r="Y204" i="1"/>
  <c r="Z204" i="1" s="1"/>
  <c r="AA204" i="1" s="1"/>
  <c r="Y192" i="1"/>
  <c r="Z192" i="1" s="1"/>
  <c r="AA192" i="1" s="1"/>
  <c r="Y188" i="1"/>
  <c r="Z188" i="1" s="1"/>
  <c r="AA188" i="1" s="1"/>
  <c r="Y184" i="1"/>
  <c r="Z184" i="1" s="1"/>
  <c r="AA184" i="1" s="1"/>
  <c r="Y180" i="1"/>
  <c r="Z180" i="1" s="1"/>
  <c r="AA180" i="1" s="1"/>
  <c r="Y176" i="1"/>
  <c r="Z176" i="1" s="1"/>
  <c r="AA176" i="1" s="1"/>
  <c r="Y172" i="1"/>
  <c r="Z172" i="1" s="1"/>
  <c r="AA172" i="1" s="1"/>
  <c r="Y168" i="1"/>
  <c r="Z168" i="1" s="1"/>
  <c r="AA168" i="1" s="1"/>
  <c r="Y164" i="1"/>
  <c r="Z164" i="1" s="1"/>
  <c r="AA164" i="1" s="1"/>
  <c r="Y160" i="1"/>
  <c r="Z160" i="1" s="1"/>
  <c r="AA160" i="1" s="1"/>
  <c r="Y156" i="1"/>
  <c r="Z156" i="1" s="1"/>
  <c r="AA156" i="1" s="1"/>
  <c r="Y152" i="1"/>
  <c r="Z152" i="1" s="1"/>
  <c r="AA152" i="1" s="1"/>
  <c r="Y148" i="1"/>
  <c r="Z148" i="1" s="1"/>
  <c r="AA148" i="1" s="1"/>
  <c r="Y140" i="1"/>
  <c r="Z140" i="1" s="1"/>
  <c r="AA140" i="1" s="1"/>
  <c r="Y136" i="1"/>
  <c r="Z136" i="1" s="1"/>
  <c r="AA136" i="1" s="1"/>
  <c r="Y132" i="1"/>
  <c r="Z132" i="1" s="1"/>
  <c r="AA132" i="1" s="1"/>
  <c r="Y124" i="1"/>
  <c r="Z124" i="1" s="1"/>
  <c r="AA124" i="1" s="1"/>
  <c r="Y120" i="1"/>
  <c r="Z120" i="1" s="1"/>
  <c r="AA120" i="1" s="1"/>
  <c r="Y117" i="1"/>
  <c r="Z117" i="1" s="1"/>
  <c r="AA117" i="1" s="1"/>
  <c r="Y207" i="1"/>
  <c r="Z207" i="1" s="1"/>
  <c r="AA207" i="1" s="1"/>
  <c r="Y203" i="1"/>
  <c r="Z203" i="1" s="1"/>
  <c r="AA203" i="1" s="1"/>
  <c r="Y199" i="1"/>
  <c r="Z199" i="1" s="1"/>
  <c r="AA199" i="1" s="1"/>
  <c r="Y195" i="1"/>
  <c r="Z195" i="1" s="1"/>
  <c r="AA195" i="1" s="1"/>
  <c r="Y191" i="1"/>
  <c r="Z191" i="1" s="1"/>
  <c r="AA191" i="1" s="1"/>
  <c r="Y187" i="1"/>
  <c r="Z187" i="1" s="1"/>
  <c r="AA187" i="1" s="1"/>
  <c r="Y183" i="1"/>
  <c r="Z183" i="1" s="1"/>
  <c r="AA183" i="1" s="1"/>
  <c r="Y179" i="1"/>
  <c r="Z179" i="1" s="1"/>
  <c r="AA179" i="1" s="1"/>
  <c r="Y206" i="1"/>
  <c r="Z206" i="1" s="1"/>
  <c r="AA206" i="1" s="1"/>
  <c r="Y202" i="1"/>
  <c r="Z202" i="1" s="1"/>
  <c r="AA202" i="1" s="1"/>
  <c r="Y194" i="1"/>
  <c r="Z194" i="1" s="1"/>
  <c r="AA194" i="1" s="1"/>
  <c r="Y186" i="1"/>
  <c r="Z186" i="1" s="1"/>
  <c r="AA186" i="1" s="1"/>
  <c r="Y182" i="1"/>
  <c r="Z182" i="1" s="1"/>
  <c r="AA182" i="1" s="1"/>
  <c r="Y178" i="1"/>
  <c r="Z178" i="1" s="1"/>
  <c r="AA178" i="1" s="1"/>
  <c r="Y174" i="1"/>
  <c r="Z174" i="1" s="1"/>
  <c r="AA174" i="1" s="1"/>
  <c r="Y170" i="1"/>
  <c r="Z170" i="1" s="1"/>
  <c r="AA170" i="1" s="1"/>
  <c r="Y166" i="1"/>
  <c r="Z166" i="1" s="1"/>
  <c r="AA166" i="1" s="1"/>
  <c r="Y162" i="1"/>
  <c r="Z162" i="1" s="1"/>
  <c r="AA162" i="1" s="1"/>
  <c r="Y158" i="1"/>
  <c r="Z158" i="1" s="1"/>
  <c r="AA158" i="1" s="1"/>
  <c r="Y154" i="1"/>
  <c r="Z154" i="1" s="1"/>
  <c r="AA154" i="1" s="1"/>
  <c r="Y150" i="1"/>
  <c r="Z150" i="1" s="1"/>
  <c r="AA150" i="1" s="1"/>
  <c r="Y146" i="1"/>
  <c r="Z146" i="1" s="1"/>
  <c r="AA146" i="1" s="1"/>
  <c r="Y142" i="1"/>
  <c r="Z142" i="1" s="1"/>
  <c r="AA142" i="1" s="1"/>
  <c r="Y134" i="1"/>
  <c r="Z134" i="1" s="1"/>
  <c r="AA134" i="1" s="1"/>
  <c r="Y130" i="1"/>
  <c r="Z130" i="1" s="1"/>
  <c r="AA130" i="1" s="1"/>
  <c r="Y122" i="1"/>
  <c r="Z122" i="1" s="1"/>
  <c r="AA122" i="1" s="1"/>
  <c r="Y118" i="1"/>
  <c r="Z118" i="1" s="1"/>
  <c r="AA118" i="1" s="1"/>
  <c r="Y60" i="1" l="1"/>
  <c r="Z60" i="1" s="1"/>
  <c r="AA60" i="1" s="1"/>
  <c r="Y9" i="1"/>
  <c r="Z9" i="1" s="1"/>
  <c r="AA9" i="1" s="1"/>
  <c r="Y189" i="1"/>
  <c r="Z189" i="1" s="1"/>
  <c r="AA189" i="1" s="1"/>
  <c r="Y123" i="1"/>
  <c r="Z123" i="1" s="1"/>
  <c r="AA123" i="1" s="1"/>
  <c r="Y157" i="1"/>
  <c r="Z157" i="1" s="1"/>
  <c r="AA157" i="1" s="1"/>
  <c r="Y76" i="1"/>
  <c r="Z76" i="1" s="1"/>
  <c r="AA76" i="1" s="1"/>
  <c r="Y138" i="1"/>
  <c r="Z138" i="1" s="1"/>
  <c r="AA138" i="1" s="1"/>
  <c r="Y59" i="1"/>
  <c r="Z59" i="1" s="1"/>
  <c r="AA59" i="1" s="1"/>
  <c r="Y155" i="1"/>
  <c r="Z155" i="1" s="1"/>
  <c r="AA155" i="1" s="1"/>
  <c r="Y28" i="1"/>
  <c r="Z28" i="1" s="1"/>
  <c r="AA28" i="1" s="1"/>
  <c r="Y92" i="1"/>
  <c r="Z92" i="1" s="1"/>
  <c r="AA92" i="1" s="1"/>
  <c r="Y128" i="1"/>
  <c r="Z128" i="1" s="1"/>
  <c r="AA128" i="1" s="1"/>
  <c r="Y200" i="1"/>
  <c r="Z200" i="1" s="1"/>
  <c r="AA200" i="1" s="1"/>
  <c r="Y198" i="1"/>
  <c r="Z198" i="1" s="1"/>
  <c r="AA198" i="1" s="1"/>
  <c r="Y43" i="1"/>
  <c r="Z43" i="1" s="1"/>
  <c r="AA43" i="1" s="1"/>
  <c r="Y139" i="1"/>
  <c r="Z139" i="1" s="1"/>
  <c r="AA139" i="1" s="1"/>
  <c r="Y12" i="1"/>
  <c r="Z12" i="1" s="1"/>
  <c r="AA12" i="1" s="1"/>
  <c r="Y126" i="1"/>
  <c r="Z126" i="1" s="1"/>
  <c r="AA126" i="1" s="1"/>
  <c r="Y190" i="1"/>
  <c r="Z190" i="1" s="1"/>
  <c r="AA190" i="1" s="1"/>
  <c r="Y107" i="1"/>
  <c r="Z107" i="1" s="1"/>
  <c r="AA107" i="1" s="1"/>
  <c r="Y171" i="1"/>
  <c r="Z171" i="1" s="1"/>
  <c r="AA171" i="1" s="1"/>
  <c r="Y44" i="1"/>
  <c r="Z44" i="1" s="1"/>
  <c r="AA44" i="1" s="1"/>
  <c r="Y108" i="1"/>
  <c r="Z108" i="1" s="1"/>
  <c r="AA108" i="1" s="1"/>
  <c r="Y144" i="1"/>
  <c r="Z144" i="1" s="1"/>
  <c r="AA144" i="1" s="1"/>
  <c r="Y175" i="1"/>
  <c r="Z175" i="1" s="1"/>
  <c r="AA175" i="1" s="1"/>
  <c r="Y196" i="1"/>
  <c r="Z196" i="1" s="1"/>
  <c r="AA196" i="1" s="1"/>
  <c r="AL3" i="1"/>
  <c r="AN3" i="1" s="1"/>
  <c r="AO3" i="1" s="1"/>
  <c r="AM3" i="1"/>
  <c r="AG3" i="1"/>
  <c r="AH3" i="1" s="1"/>
  <c r="Y5" i="1"/>
  <c r="Z5" i="1" s="1"/>
  <c r="AA5" i="1" s="1"/>
  <c r="Y75" i="1"/>
  <c r="Z75" i="1" s="1"/>
  <c r="AA75" i="1" s="1"/>
  <c r="Y27" i="1"/>
  <c r="Z27" i="1" s="1"/>
  <c r="AA27" i="1" s="1"/>
  <c r="Y91" i="1"/>
  <c r="Z91" i="1" s="1"/>
  <c r="AA91" i="1" s="1"/>
  <c r="Y82" i="1"/>
  <c r="Z82" i="1" s="1"/>
  <c r="AA82" i="1" s="1"/>
  <c r="Y56" i="1"/>
  <c r="Z56" i="1" s="1"/>
  <c r="AA56" i="1" s="1"/>
  <c r="Y96" i="1"/>
  <c r="Z96" i="1" s="1"/>
  <c r="AA96" i="1" s="1"/>
  <c r="Y81" i="1"/>
  <c r="Z81" i="1" s="1"/>
  <c r="AA81" i="1" s="1"/>
  <c r="Y145" i="1"/>
  <c r="Z145" i="1" s="1"/>
  <c r="AA145" i="1" s="1"/>
  <c r="Y153" i="1"/>
  <c r="Z153" i="1" s="1"/>
  <c r="AA153" i="1" s="1"/>
  <c r="Y71" i="1"/>
  <c r="Z71" i="1" s="1"/>
  <c r="AA71" i="1" s="1"/>
  <c r="Y111" i="1"/>
  <c r="Z111" i="1" s="1"/>
  <c r="AA111" i="1" s="1"/>
  <c r="Y47" i="1"/>
  <c r="Z47" i="1" s="1"/>
  <c r="AA47" i="1" s="1"/>
  <c r="Y135" i="1"/>
  <c r="Z135" i="1" s="1"/>
  <c r="AA135" i="1" s="1"/>
  <c r="Y32" i="1"/>
  <c r="Z32" i="1" s="1"/>
  <c r="AA32" i="1" s="1"/>
  <c r="Y177" i="1"/>
  <c r="Z177" i="1" s="1"/>
  <c r="AA177" i="1" s="1"/>
  <c r="Y34" i="1"/>
  <c r="Z34" i="1" s="1"/>
  <c r="AA34" i="1" s="1"/>
  <c r="Y10" i="1"/>
  <c r="Z10" i="1" s="1"/>
  <c r="AA10" i="1" s="1"/>
  <c r="Y50" i="1"/>
  <c r="Z50" i="1" s="1"/>
  <c r="AA50" i="1" s="1"/>
  <c r="Y90" i="1"/>
  <c r="Z90" i="1" s="1"/>
  <c r="AA90" i="1" s="1"/>
  <c r="Y25" i="1"/>
  <c r="Z25" i="1" s="1"/>
  <c r="AA25" i="1" s="1"/>
  <c r="Z3" i="1"/>
  <c r="AA3" i="1" s="1"/>
  <c r="Y18" i="1"/>
  <c r="Z18" i="1" s="1"/>
  <c r="AA18" i="1" s="1"/>
  <c r="Y58" i="1"/>
  <c r="Z58" i="1" s="1"/>
  <c r="AA58" i="1" s="1"/>
  <c r="Y98" i="1"/>
  <c r="Z98" i="1" s="1"/>
  <c r="AA98" i="1" s="1"/>
  <c r="Y26" i="1"/>
  <c r="Z26" i="1" s="1"/>
  <c r="AA26" i="1" s="1"/>
  <c r="Y66" i="1"/>
  <c r="Z66" i="1" s="1"/>
  <c r="AA66" i="1" s="1"/>
  <c r="Y114" i="1"/>
  <c r="Z114" i="1" s="1"/>
  <c r="AA114" i="1" s="1"/>
  <c r="Y49" i="1"/>
  <c r="Z49" i="1" s="1"/>
  <c r="AA49" i="1" s="1"/>
  <c r="Y55" i="1"/>
  <c r="Z55" i="1" s="1"/>
  <c r="AA55" i="1" s="1"/>
  <c r="Y119" i="1"/>
  <c r="Z119" i="1" s="1"/>
  <c r="AA119" i="1" s="1"/>
  <c r="Y21" i="1"/>
  <c r="Z21" i="1" s="1"/>
  <c r="AA21" i="1" s="1"/>
  <c r="Y193" i="1"/>
  <c r="Z193" i="1" s="1"/>
  <c r="AA193" i="1" s="1"/>
  <c r="Y40" i="1"/>
  <c r="Z40" i="1" s="1"/>
  <c r="AA40" i="1" s="1"/>
  <c r="Y104" i="1"/>
  <c r="Z104" i="1" s="1"/>
  <c r="AA104" i="1" s="1"/>
  <c r="Y105" i="1"/>
  <c r="Z105" i="1" s="1"/>
  <c r="AA105" i="1" s="1"/>
  <c r="Y185" i="1"/>
  <c r="Z185" i="1" s="1"/>
  <c r="AA185" i="1" s="1"/>
  <c r="Y16" i="1"/>
  <c r="Z16" i="1" s="1"/>
  <c r="AA16" i="1" s="1"/>
  <c r="Y7" i="1"/>
  <c r="Z7" i="1" s="1"/>
  <c r="AA7" i="1" s="1"/>
  <c r="Y42" i="1"/>
  <c r="Z42" i="1" s="1"/>
  <c r="AA42" i="1" s="1"/>
  <c r="Y74" i="1"/>
  <c r="Z74" i="1" s="1"/>
  <c r="AA74" i="1" s="1"/>
  <c r="Y106" i="1"/>
  <c r="Z106" i="1" s="1"/>
  <c r="AA106" i="1" s="1"/>
  <c r="Y31" i="1"/>
  <c r="Z31" i="1" s="1"/>
  <c r="AA31" i="1" s="1"/>
  <c r="Y95" i="1"/>
  <c r="Z95" i="1" s="1"/>
  <c r="AA95" i="1" s="1"/>
  <c r="Y159" i="1"/>
  <c r="Z159" i="1" s="1"/>
  <c r="AA159" i="1" s="1"/>
  <c r="Y97" i="1"/>
  <c r="Z97" i="1" s="1"/>
  <c r="AA97" i="1" s="1"/>
  <c r="Y201" i="1"/>
  <c r="Z201" i="1" s="1"/>
  <c r="AA201" i="1" s="1"/>
  <c r="Y80" i="1"/>
  <c r="Z80" i="1" s="1"/>
  <c r="AA80" i="1" s="1"/>
  <c r="Y45" i="1"/>
  <c r="Z45" i="1" s="1"/>
  <c r="AA45" i="1" s="1"/>
  <c r="Y129" i="1"/>
  <c r="Z129" i="1" s="1"/>
  <c r="AA129" i="1" s="1"/>
  <c r="Y8" i="1"/>
  <c r="Z8" i="1" s="1"/>
  <c r="AA8" i="1" s="1"/>
  <c r="Y39" i="1"/>
  <c r="Z39" i="1" s="1"/>
  <c r="AA39" i="1" s="1"/>
  <c r="Y79" i="1"/>
  <c r="Z79" i="1" s="1"/>
  <c r="AA79" i="1" s="1"/>
  <c r="Y103" i="1"/>
  <c r="Z103" i="1" s="1"/>
  <c r="AA103" i="1" s="1"/>
  <c r="Y143" i="1"/>
  <c r="Z143" i="1" s="1"/>
  <c r="AA143" i="1" s="1"/>
  <c r="Y167" i="1"/>
  <c r="Z167" i="1" s="1"/>
  <c r="AA167" i="1" s="1"/>
  <c r="Y53" i="1"/>
  <c r="Z53" i="1" s="1"/>
  <c r="AA53" i="1" s="1"/>
  <c r="Y137" i="1"/>
  <c r="Z137" i="1" s="1"/>
  <c r="AA137" i="1" s="1"/>
  <c r="Y24" i="1"/>
  <c r="Z24" i="1" s="1"/>
  <c r="AA24" i="1" s="1"/>
  <c r="Y64" i="1"/>
  <c r="Z64" i="1" s="1"/>
  <c r="AA64" i="1" s="1"/>
  <c r="Y88" i="1"/>
  <c r="Z88" i="1" s="1"/>
  <c r="AA88" i="1" s="1"/>
  <c r="Y65" i="1"/>
  <c r="Z65" i="1" s="1"/>
  <c r="AA65" i="1" s="1"/>
  <c r="Y113" i="1"/>
  <c r="Z113" i="1" s="1"/>
  <c r="AA113" i="1" s="1"/>
  <c r="Y161" i="1"/>
  <c r="Z161" i="1" s="1"/>
  <c r="AA161" i="1" s="1"/>
  <c r="Y15" i="1"/>
  <c r="Z15" i="1" s="1"/>
  <c r="AA15" i="1" s="1"/>
  <c r="Y23" i="1"/>
  <c r="Z23" i="1" s="1"/>
  <c r="AA23" i="1" s="1"/>
  <c r="Y63" i="1"/>
  <c r="Z63" i="1" s="1"/>
  <c r="AA63" i="1" s="1"/>
  <c r="Y87" i="1"/>
  <c r="Z87" i="1" s="1"/>
  <c r="AA87" i="1" s="1"/>
  <c r="Y127" i="1"/>
  <c r="Z127" i="1" s="1"/>
  <c r="AA127" i="1" s="1"/>
  <c r="Y151" i="1"/>
  <c r="Z151" i="1" s="1"/>
  <c r="AA151" i="1" s="1"/>
  <c r="Y89" i="1"/>
  <c r="Z89" i="1" s="1"/>
  <c r="AA89" i="1" s="1"/>
  <c r="Y48" i="1"/>
  <c r="Z48" i="1" s="1"/>
  <c r="AA48" i="1" s="1"/>
  <c r="Y72" i="1"/>
  <c r="Z72" i="1" s="1"/>
  <c r="AA72" i="1" s="1"/>
  <c r="Y112" i="1"/>
  <c r="Z112" i="1" s="1"/>
  <c r="AA112" i="1" s="1"/>
  <c r="Y29" i="1"/>
  <c r="Z29" i="1" s="1"/>
  <c r="AA29" i="1" s="1"/>
  <c r="Y73" i="1"/>
  <c r="Z73" i="1" s="1"/>
  <c r="AA73" i="1" s="1"/>
  <c r="Y121" i="1"/>
  <c r="Z121" i="1" s="1"/>
  <c r="AA121" i="1" s="1"/>
  <c r="Y169" i="1"/>
  <c r="Z169" i="1" s="1"/>
  <c r="AA169" i="1" s="1"/>
  <c r="Y17" i="1"/>
  <c r="Z17" i="1" s="1"/>
  <c r="AA17" i="1" s="1"/>
  <c r="Y205" i="1"/>
  <c r="Z205" i="1" s="1"/>
  <c r="AA205" i="1" s="1"/>
  <c r="Y69" i="1"/>
  <c r="Z69" i="1" s="1"/>
  <c r="AA69" i="1" s="1"/>
  <c r="Y125" i="1"/>
  <c r="Z125" i="1" s="1"/>
  <c r="AA125" i="1" s="1"/>
  <c r="Y165" i="1"/>
  <c r="Z165" i="1" s="1"/>
  <c r="AA165" i="1" s="1"/>
  <c r="Y57" i="1"/>
  <c r="Z57" i="1" s="1"/>
  <c r="AA57" i="1" s="1"/>
  <c r="Y93" i="1"/>
  <c r="Z93" i="1" s="1"/>
  <c r="AA93" i="1" s="1"/>
  <c r="Y197" i="1"/>
  <c r="Z197" i="1" s="1"/>
  <c r="AA197" i="1" s="1"/>
  <c r="Y4" i="1"/>
  <c r="Z4" i="1" s="1"/>
  <c r="AA4" i="1" s="1"/>
  <c r="Y19" i="1"/>
  <c r="Z19" i="1" s="1"/>
  <c r="AA19" i="1" s="1"/>
  <c r="Y35" i="1"/>
  <c r="Z35" i="1" s="1"/>
  <c r="AA35" i="1" s="1"/>
  <c r="Y51" i="1"/>
  <c r="Z51" i="1" s="1"/>
  <c r="AA51" i="1" s="1"/>
  <c r="Y67" i="1"/>
  <c r="Z67" i="1" s="1"/>
  <c r="AA67" i="1" s="1"/>
  <c r="Y83" i="1"/>
  <c r="Z83" i="1" s="1"/>
  <c r="AA83" i="1" s="1"/>
  <c r="Y99" i="1"/>
  <c r="Z99" i="1" s="1"/>
  <c r="AA99" i="1" s="1"/>
  <c r="Y115" i="1"/>
  <c r="Z115" i="1" s="1"/>
  <c r="AA115" i="1" s="1"/>
  <c r="Y131" i="1"/>
  <c r="Z131" i="1" s="1"/>
  <c r="AA131" i="1" s="1"/>
  <c r="Y147" i="1"/>
  <c r="Z147" i="1" s="1"/>
  <c r="AA147" i="1" s="1"/>
  <c r="Y163" i="1"/>
  <c r="Z163" i="1" s="1"/>
  <c r="AA163" i="1" s="1"/>
  <c r="Y77" i="1"/>
  <c r="Z77" i="1" s="1"/>
  <c r="AA77" i="1" s="1"/>
  <c r="Y101" i="1"/>
  <c r="Z101" i="1" s="1"/>
  <c r="AA101" i="1" s="1"/>
  <c r="Y173" i="1"/>
  <c r="Z173" i="1" s="1"/>
  <c r="AA173" i="1" s="1"/>
  <c r="Y20" i="1"/>
  <c r="Z20" i="1" s="1"/>
  <c r="AA20" i="1" s="1"/>
  <c r="Y36" i="1"/>
  <c r="Z36" i="1" s="1"/>
  <c r="AA36" i="1" s="1"/>
  <c r="Y52" i="1"/>
  <c r="Z52" i="1" s="1"/>
  <c r="AA52" i="1" s="1"/>
  <c r="Y68" i="1"/>
  <c r="Z68" i="1" s="1"/>
  <c r="AA68" i="1" s="1"/>
  <c r="Y84" i="1"/>
  <c r="Z84" i="1" s="1"/>
  <c r="AA84" i="1" s="1"/>
  <c r="Y100" i="1"/>
  <c r="Z100" i="1" s="1"/>
  <c r="AA100" i="1" s="1"/>
  <c r="Y33" i="1"/>
  <c r="Z33" i="1" s="1"/>
  <c r="AA33" i="1" s="1"/>
  <c r="Y133" i="1"/>
  <c r="Z133" i="1" s="1"/>
  <c r="AA133" i="1" s="1"/>
  <c r="Y11" i="1"/>
  <c r="Z11" i="1" s="1"/>
  <c r="AA11" i="1" s="1"/>
  <c r="Y41" i="1"/>
  <c r="Z41" i="1" s="1"/>
  <c r="AA41" i="1" s="1"/>
  <c r="Y85" i="1"/>
  <c r="Z85" i="1" s="1"/>
  <c r="AA85" i="1" s="1"/>
  <c r="Y109" i="1"/>
  <c r="Z109" i="1" s="1"/>
  <c r="AA109" i="1" s="1"/>
  <c r="Y149" i="1"/>
  <c r="Z149" i="1" s="1"/>
  <c r="AA149" i="1" s="1"/>
  <c r="Y181" i="1"/>
  <c r="Z181" i="1" s="1"/>
  <c r="AA181" i="1" s="1"/>
  <c r="Y141" i="1"/>
  <c r="Z141" i="1" s="1"/>
  <c r="AA141" i="1" s="1"/>
  <c r="Y14" i="1"/>
  <c r="Z14" i="1" s="1"/>
  <c r="AA14" i="1" s="1"/>
  <c r="Y22" i="1"/>
  <c r="Z22" i="1" s="1"/>
  <c r="AA22" i="1" s="1"/>
  <c r="Y38" i="1"/>
  <c r="Z38" i="1" s="1"/>
  <c r="AA38" i="1" s="1"/>
  <c r="Y54" i="1"/>
  <c r="Z54" i="1" s="1"/>
  <c r="AA54" i="1" s="1"/>
  <c r="Y70" i="1"/>
  <c r="Z70" i="1" s="1"/>
  <c r="AA70" i="1" s="1"/>
  <c r="Y86" i="1"/>
  <c r="Z86" i="1" s="1"/>
  <c r="AA86" i="1" s="1"/>
  <c r="Y102" i="1"/>
  <c r="Z102" i="1" s="1"/>
  <c r="AA102" i="1" s="1"/>
  <c r="Y37" i="1"/>
  <c r="Z37" i="1" s="1"/>
  <c r="AA37" i="1" s="1"/>
  <c r="Y13" i="1"/>
  <c r="Z13" i="1" s="1"/>
  <c r="AA13" i="1" s="1"/>
  <c r="Y61" i="1"/>
  <c r="Z61" i="1" s="1"/>
  <c r="AA61" i="1" s="1"/>
  <c r="Y6" i="1"/>
  <c r="Z6" i="1" s="1"/>
  <c r="AA6" i="1" s="1"/>
  <c r="Y30" i="1"/>
  <c r="Z30" i="1" s="1"/>
  <c r="AA30" i="1" s="1"/>
  <c r="Y46" i="1"/>
  <c r="Z46" i="1" s="1"/>
  <c r="AA46" i="1" s="1"/>
  <c r="Y62" i="1"/>
  <c r="Z62" i="1" s="1"/>
  <c r="AA62" i="1" s="1"/>
  <c r="Y78" i="1"/>
  <c r="Z78" i="1" s="1"/>
  <c r="AA78" i="1" s="1"/>
  <c r="Y94" i="1"/>
  <c r="Z94" i="1" s="1"/>
  <c r="AA94" i="1" s="1"/>
  <c r="Y110" i="1"/>
  <c r="Z110" i="1" s="1"/>
  <c r="AA110" i="1" s="1"/>
</calcChain>
</file>

<file path=xl/sharedStrings.xml><?xml version="1.0" encoding="utf-8"?>
<sst xmlns="http://schemas.openxmlformats.org/spreadsheetml/2006/main" count="2688" uniqueCount="474">
  <si>
    <t>Estágio</t>
  </si>
  <si>
    <t>Nome do Responsável Financeiro</t>
  </si>
  <si>
    <t>E-mail do Responsável Financeiro</t>
  </si>
  <si>
    <t>CPF do Responsável Financeiro</t>
  </si>
  <si>
    <t>Telefone do Responsável Financeiro</t>
  </si>
  <si>
    <t>Celular do Responsável Financeiro</t>
  </si>
  <si>
    <t>Logradouro do Responsável Financeiro</t>
  </si>
  <si>
    <t>Número do Responsável Financeiro</t>
  </si>
  <si>
    <t>Bairro do Responsável Financeiro</t>
  </si>
  <si>
    <t>Cidade do Responsável Financeiro</t>
  </si>
  <si>
    <t>CEP do Responsável Financeiro</t>
  </si>
  <si>
    <t>Complemento do Responsável Financeiro</t>
  </si>
  <si>
    <t>UF do Responsável Financeiro</t>
  </si>
  <si>
    <t>Parcela</t>
  </si>
  <si>
    <t>Data de Vencimento</t>
  </si>
  <si>
    <t>Valor Original</t>
  </si>
  <si>
    <t>Valor Juros</t>
  </si>
  <si>
    <t>Valor Multa</t>
  </si>
  <si>
    <t>Valor Atual</t>
  </si>
  <si>
    <t>Negativado</t>
  </si>
  <si>
    <t>Categoria do Financeiro</t>
  </si>
  <si>
    <t/>
  </si>
  <si>
    <t>Caroline Cardoso Rondon</t>
  </si>
  <si>
    <t>carolinecardoso.arq@gmail.com</t>
  </si>
  <si>
    <t>02232290166</t>
  </si>
  <si>
    <t>(67) 3201-9250</t>
  </si>
  <si>
    <t>(67) 08154-5807</t>
  </si>
  <si>
    <t>Rua Luiz Alves, 400</t>
  </si>
  <si>
    <t>Parque Residencial Rita Vieira</t>
  </si>
  <si>
    <t>Campo Grande</t>
  </si>
  <si>
    <t>Al</t>
  </si>
  <si>
    <t>Não</t>
  </si>
  <si>
    <t>Material Didático</t>
  </si>
  <si>
    <t>Rosalino Cardoso dos Santos</t>
  </si>
  <si>
    <t>cardososantos730@yahoo.com</t>
  </si>
  <si>
    <t>80965032191</t>
  </si>
  <si>
    <t>(__) ____-____</t>
  </si>
  <si>
    <t>(67) 91313-492_</t>
  </si>
  <si>
    <t>Avenida Ciro Araújo Franca</t>
  </si>
  <si>
    <t>Vila Margarida</t>
  </si>
  <si>
    <t>Damião Pereira</t>
  </si>
  <si>
    <t>dpereira@tbg.com.br</t>
  </si>
  <si>
    <t>40879992115</t>
  </si>
  <si>
    <t>(67) 3041-5577</t>
  </si>
  <si>
    <t>(67) 09950-3002</t>
  </si>
  <si>
    <t>Rua Quatorze de Julho, 2434</t>
  </si>
  <si>
    <t>Centro</t>
  </si>
  <si>
    <t>apto 202</t>
  </si>
  <si>
    <t>Ms</t>
  </si>
  <si>
    <t>Angelo dos Santos Costa</t>
  </si>
  <si>
    <t>10806180153</t>
  </si>
  <si>
    <t>(67) 92087-123_</t>
  </si>
  <si>
    <t>Rua Soter Araújo Franca</t>
  </si>
  <si>
    <t>Crédito Não Identificado</t>
  </si>
  <si>
    <t>Marcia Maria de Souza Gomes</t>
  </si>
  <si>
    <t>88752461149</t>
  </si>
  <si>
    <t>(67) 9129-3774</t>
  </si>
  <si>
    <t>(67) 84666-578_</t>
  </si>
  <si>
    <t>Rua Zulmira Borba</t>
  </si>
  <si>
    <t>Nova Lima</t>
  </si>
  <si>
    <t>Monique Dutra Munhoz</t>
  </si>
  <si>
    <t>monique_munhoz1@hotmail.com</t>
  </si>
  <si>
    <t>98245023191</t>
  </si>
  <si>
    <t>(67) 9931-1011</t>
  </si>
  <si>
    <t>(67) 09125-4706</t>
  </si>
  <si>
    <t>Rua: Quintino Bocaiúva</t>
  </si>
  <si>
    <t>Jardim Paulista</t>
  </si>
  <si>
    <t>Casa</t>
  </si>
  <si>
    <t>Sandra Garcia Gabas</t>
  </si>
  <si>
    <t>sandra.gabas@gmail.com</t>
  </si>
  <si>
    <t>14727905884</t>
  </si>
  <si>
    <t>(67) 3042-5670</t>
  </si>
  <si>
    <t>(67) 9906-5373</t>
  </si>
  <si>
    <t>Rua: Ataufo Alves, Nº20</t>
  </si>
  <si>
    <t>Tv Morena</t>
  </si>
  <si>
    <t>79030-150</t>
  </si>
  <si>
    <t>Cinthia Cristiane Mossini</t>
  </si>
  <si>
    <t>cinthiamossini1@ig.com.br</t>
  </si>
  <si>
    <t>90136519172</t>
  </si>
  <si>
    <t>(67) 3321-2420</t>
  </si>
  <si>
    <t>(67) 09603-2005</t>
  </si>
  <si>
    <t>Rua Nhecolândia, nº 29</t>
  </si>
  <si>
    <t>Jardim São Bento</t>
  </si>
  <si>
    <t>Jane Soila Domingues Guerreiro</t>
  </si>
  <si>
    <t>jsoilad@gmail.com</t>
  </si>
  <si>
    <t>66231752100</t>
  </si>
  <si>
    <t>(67) 09665-4229</t>
  </si>
  <si>
    <t>Henrique de Souza Ferreira</t>
  </si>
  <si>
    <t>rikmoko@gmail.com</t>
  </si>
  <si>
    <t>04798590193</t>
  </si>
  <si>
    <t>(67) 9147-9494</t>
  </si>
  <si>
    <t>(67) 08162-4440</t>
  </si>
  <si>
    <t>Rua Luís Gama, 73</t>
  </si>
  <si>
    <t>Amambaí</t>
  </si>
  <si>
    <t>Marlos da Cruz Montes</t>
  </si>
  <si>
    <t>marlosmontes@yahoo.com.br</t>
  </si>
  <si>
    <t>45693501191</t>
  </si>
  <si>
    <t>(67) 3346-3752</t>
  </si>
  <si>
    <t>(67) 96926-291_</t>
  </si>
  <si>
    <t>Rua Francisco Alves Castelo</t>
  </si>
  <si>
    <t>Vila Ipiranga</t>
  </si>
  <si>
    <t>Carolina Rodrigues de Azevedo</t>
  </si>
  <si>
    <t>c4rol_azevedo@hotmail.com</t>
  </si>
  <si>
    <t>00474585182</t>
  </si>
  <si>
    <t>(67) 9193-9399</t>
  </si>
  <si>
    <t>Rua da Divisão</t>
  </si>
  <si>
    <t>Jardim Parati</t>
  </si>
  <si>
    <t>79081-650</t>
  </si>
  <si>
    <t>Un 722 - Torre 2</t>
  </si>
  <si>
    <t>Joelma Alves de Lima Pedroso</t>
  </si>
  <si>
    <t>joelma.alp@gmail.com</t>
  </si>
  <si>
    <t>97102717172</t>
  </si>
  <si>
    <t>(67) 3355-0315</t>
  </si>
  <si>
    <t>(67) 99286-8167</t>
  </si>
  <si>
    <t>Rua: Aquidaban</t>
  </si>
  <si>
    <t>Parque dos Novos Estados</t>
  </si>
  <si>
    <t>Katiuscia Satsiko Nakasato</t>
  </si>
  <si>
    <t>katy.nak.ms@hotmail.com</t>
  </si>
  <si>
    <t>69662878149</t>
  </si>
  <si>
    <t>(67) 9232-8382</t>
  </si>
  <si>
    <t>Rua: Joel Dibo, Nº336</t>
  </si>
  <si>
    <t>Jeferson Gutemberg Santos Ferreira</t>
  </si>
  <si>
    <t>jgsf@frigg.com.br</t>
  </si>
  <si>
    <t>73471968172</t>
  </si>
  <si>
    <t>(67) 3044-2423</t>
  </si>
  <si>
    <t>(67) 9233-6841</t>
  </si>
  <si>
    <t>Rua do Dinar</t>
  </si>
  <si>
    <t>Vila Carlota</t>
  </si>
  <si>
    <t>79051-480</t>
  </si>
  <si>
    <t>Bloco E Aptº 23</t>
  </si>
  <si>
    <t>Regiane Furtado de Miranda</t>
  </si>
  <si>
    <t>regiane_miranda15@hotmail.com</t>
  </si>
  <si>
    <t>00858891131</t>
  </si>
  <si>
    <t>(67) 9901-9877</t>
  </si>
  <si>
    <t>Rua Dolores Duran</t>
  </si>
  <si>
    <t>Recanto das Paineiras</t>
  </si>
  <si>
    <t>79063-330</t>
  </si>
  <si>
    <t>Danielle Dayse Schuman Ribeiro</t>
  </si>
  <si>
    <t>danidribeiro@hotmail.com</t>
  </si>
  <si>
    <t>01011908166</t>
  </si>
  <si>
    <t>(67) 92881-782_</t>
  </si>
  <si>
    <t>Rua Aniceto da Costa Rondon</t>
  </si>
  <si>
    <t>Caiçara</t>
  </si>
  <si>
    <t>Daniela Oliveira Nogueira dos Santos</t>
  </si>
  <si>
    <t>83173510178</t>
  </si>
  <si>
    <t>Rua Ayrton Rodrigues Leite</t>
  </si>
  <si>
    <t>Vila Giocondo Orsi</t>
  </si>
  <si>
    <t>Junior Fernando Cruz de Souza</t>
  </si>
  <si>
    <t>juniorfernando50@gmail.com</t>
  </si>
  <si>
    <t>05021836161</t>
  </si>
  <si>
    <t>(67) 9330-4077</t>
  </si>
  <si>
    <t>Rua Luiz Carlos Siufi</t>
  </si>
  <si>
    <t>Jardim Colúmbia</t>
  </si>
  <si>
    <t>79018-080</t>
  </si>
  <si>
    <t>Lisandra Rizzo de Almeida Gonçalves</t>
  </si>
  <si>
    <t>lisandrarizzo@hotmail.com</t>
  </si>
  <si>
    <t>12161635883</t>
  </si>
  <si>
    <t>(67) 3211-3620</t>
  </si>
  <si>
    <t>(67) 81406-365_</t>
  </si>
  <si>
    <t xml:space="preserve">Rua: Doutor Zerbine, Nº946 </t>
  </si>
  <si>
    <t>Chácara Cachoeira</t>
  </si>
  <si>
    <t>Casa 11</t>
  </si>
  <si>
    <t>Carla Thays Viana de Almeida</t>
  </si>
  <si>
    <t>carlathays_82@hotmail.com</t>
  </si>
  <si>
    <t>00095483195</t>
  </si>
  <si>
    <t>(67) 3325-9541</t>
  </si>
  <si>
    <t>(67) 92136-055_</t>
  </si>
  <si>
    <t>Avenida Rodolfo José Pinho</t>
  </si>
  <si>
    <t>Silvia Mendes Pereira Alves</t>
  </si>
  <si>
    <t>49009630110</t>
  </si>
  <si>
    <t>(67) 3326-2166</t>
  </si>
  <si>
    <t>Rua: Cigana, Nº25</t>
  </si>
  <si>
    <t>Carandá Bosque 2</t>
  </si>
  <si>
    <t>Carlos Henrique da Silva Milanezi</t>
  </si>
  <si>
    <t>carlos.milanezi@grupoccr.com.br</t>
  </si>
  <si>
    <t>01611177162</t>
  </si>
  <si>
    <t>(67) 9178-6303</t>
  </si>
  <si>
    <t>(67) 09667-3600</t>
  </si>
  <si>
    <t>Rua México</t>
  </si>
  <si>
    <t>Jardim America</t>
  </si>
  <si>
    <t>Casa 2</t>
  </si>
  <si>
    <t>Maria Aparecida Henrique</t>
  </si>
  <si>
    <t>23107588172</t>
  </si>
  <si>
    <t>(67) 3383-3161</t>
  </si>
  <si>
    <t>(67) 09983-8700</t>
  </si>
  <si>
    <t>Rua Manoel Mariano, nº 58</t>
  </si>
  <si>
    <t>Marcio José Maschio</t>
  </si>
  <si>
    <t>12944560832</t>
  </si>
  <si>
    <t>(67) 3341-8594</t>
  </si>
  <si>
    <t>Rua Jorge Luís Anchieta Curado</t>
  </si>
  <si>
    <t>Jardim Itatiaia</t>
  </si>
  <si>
    <t>Julio Cesar Souza Rodrigues</t>
  </si>
  <si>
    <t>julioadv.rodrigues@gmail.com</t>
  </si>
  <si>
    <t>16439627104</t>
  </si>
  <si>
    <t>(67) 99660-6004</t>
  </si>
  <si>
    <t>Rua Dona Virgilina</t>
  </si>
  <si>
    <t>Vila Antônio Vendas</t>
  </si>
  <si>
    <t>Rafaela Carrinho Terencio</t>
  </si>
  <si>
    <t>rafaelaterencio@hotmail.com</t>
  </si>
  <si>
    <t>02294811160</t>
  </si>
  <si>
    <t>(67) 3201-8628</t>
  </si>
  <si>
    <t>(67) 99123-8679</t>
  </si>
  <si>
    <t>Rua Macaé</t>
  </si>
  <si>
    <t>Vila Sílvia Regina</t>
  </si>
  <si>
    <t>79103-410</t>
  </si>
  <si>
    <t>Larissa Kéli da Silva</t>
  </si>
  <si>
    <t>dkukas@hotmail.com</t>
  </si>
  <si>
    <t>03710924260</t>
  </si>
  <si>
    <t>(67) 99834-2018</t>
  </si>
  <si>
    <t>Rua Itiquira</t>
  </si>
  <si>
    <t>Santa Fé</t>
  </si>
  <si>
    <t>79021-290</t>
  </si>
  <si>
    <t>Maelson Alves Cardoso</t>
  </si>
  <si>
    <t>51312000244</t>
  </si>
  <si>
    <t>Thereza Cristina Amendola da Motta</t>
  </si>
  <si>
    <t>thereza_motta@hotmail.com</t>
  </si>
  <si>
    <t>69381836191</t>
  </si>
  <si>
    <t>(00) 3324-5795</t>
  </si>
  <si>
    <t>(00) 81268-606_</t>
  </si>
  <si>
    <t>Rua Vinte e Nove de Abril</t>
  </si>
  <si>
    <t>Vila Nascente</t>
  </si>
  <si>
    <t>Jasna Santos Motta</t>
  </si>
  <si>
    <t>jasnamotta@gmail.com</t>
  </si>
  <si>
    <t>02473095167</t>
  </si>
  <si>
    <t>(67) 3246-3544</t>
  </si>
  <si>
    <t>(67) 91071-646_</t>
  </si>
  <si>
    <t>Rua Mauro Rodrigues Oliveira</t>
  </si>
  <si>
    <t>Rafaela Ravagnani Arosti</t>
  </si>
  <si>
    <t>rafaelarosti@hotmail.com</t>
  </si>
  <si>
    <t>37353561840</t>
  </si>
  <si>
    <t>(67) 99268-1935</t>
  </si>
  <si>
    <t>casa 707</t>
  </si>
  <si>
    <t>Taxa de Trancamento</t>
  </si>
  <si>
    <t>Raquel Pedrosa Marques de Araujo</t>
  </si>
  <si>
    <t>(67) 99629-9868</t>
  </si>
  <si>
    <t>kel_pedrosa@hotmail.com</t>
  </si>
  <si>
    <t>60379383187</t>
  </si>
  <si>
    <t>Rua José Joaquim da Silva</t>
  </si>
  <si>
    <t>79036-100</t>
  </si>
  <si>
    <t>Walyscleiquer Feliciano de Souza</t>
  </si>
  <si>
    <t>catiapridaniel@gmail.com</t>
  </si>
  <si>
    <t>25262595847</t>
  </si>
  <si>
    <t>(28) 99977-2546</t>
  </si>
  <si>
    <t>Rua José Tiago Pontes</t>
  </si>
  <si>
    <t>Ribas do Rio Pardo</t>
  </si>
  <si>
    <t>Outras Taxas de Contrato</t>
  </si>
  <si>
    <t>Larissa Sanches Moggioni</t>
  </si>
  <si>
    <t>(67) 99982-0063</t>
  </si>
  <si>
    <t>larissa.moggioni@yahoo.com.br</t>
  </si>
  <si>
    <t>36828929829</t>
  </si>
  <si>
    <t>Avenida Mato Grosso</t>
  </si>
  <si>
    <t>Residencial Dom Bosco, Casa 3</t>
  </si>
  <si>
    <t>Ana Lia Coletto</t>
  </si>
  <si>
    <t>(67) 98172-0789</t>
  </si>
  <si>
    <t>ana.colettobarros@hotmail.com</t>
  </si>
  <si>
    <t>01349113182</t>
  </si>
  <si>
    <t>Rua Acalifas</t>
  </si>
  <si>
    <t>Carandá Bosque</t>
  </si>
  <si>
    <t>Casa 01</t>
  </si>
  <si>
    <t>(67) 99142-8287</t>
  </si>
  <si>
    <t>Ana Lucia Lins de Albuquerque</t>
  </si>
  <si>
    <t>30642571880</t>
  </si>
  <si>
    <t>Rua Acrópole</t>
  </si>
  <si>
    <t>Loteamento Bosque da Esperança</t>
  </si>
  <si>
    <t>79036-516</t>
  </si>
  <si>
    <t>Rodrigo Mata Spengler</t>
  </si>
  <si>
    <t>(67) 98164-9110</t>
  </si>
  <si>
    <t>rodrigomataspengler@gmail.com</t>
  </si>
  <si>
    <t>04455384146</t>
  </si>
  <si>
    <t>Rua Sergipe</t>
  </si>
  <si>
    <t>Jardim dos Estados</t>
  </si>
  <si>
    <t>79020-160</t>
  </si>
  <si>
    <t>Giselle Marques de Araujo</t>
  </si>
  <si>
    <t>(67) 99224-0965</t>
  </si>
  <si>
    <t>giselle_marques@hotmail.com</t>
  </si>
  <si>
    <t>39134741100</t>
  </si>
  <si>
    <t>Rua Euclides da Cunha</t>
  </si>
  <si>
    <t>79021-200</t>
  </si>
  <si>
    <t>(67) 3326-6283</t>
  </si>
  <si>
    <t>Rosana Mori</t>
  </si>
  <si>
    <t>contatomvitaminas@gmail.com</t>
  </si>
  <si>
    <t>96837357115</t>
  </si>
  <si>
    <t>(67) 98134-0663</t>
  </si>
  <si>
    <t>Avenida Mato Grosso - de 2787 a 4037 - lado</t>
  </si>
  <si>
    <t>Loja/casa</t>
  </si>
  <si>
    <t>Ide Alves de Moura</t>
  </si>
  <si>
    <t>(67) 3305-2901</t>
  </si>
  <si>
    <t>(67) 98171-2901</t>
  </si>
  <si>
    <t>servadejc@yahoo.com.br</t>
  </si>
  <si>
    <t>22999248172</t>
  </si>
  <si>
    <t>Vivendas do Bosque</t>
  </si>
  <si>
    <t>79021-003</t>
  </si>
  <si>
    <t>bloco 16 apto 101</t>
  </si>
  <si>
    <t>Claudia Dayanne Amaral Dias</t>
  </si>
  <si>
    <t>(67) 99309-9471</t>
  </si>
  <si>
    <t>amaral_dias@outlook.com</t>
  </si>
  <si>
    <t>02991234130</t>
  </si>
  <si>
    <t>Rua Adriano Metello</t>
  </si>
  <si>
    <t>Coronel Antonino</t>
  </si>
  <si>
    <t>79011-420</t>
  </si>
  <si>
    <t>Ana Carolina Rodrigues</t>
  </si>
  <si>
    <t>(67) 99105-2382</t>
  </si>
  <si>
    <t>carolrodrigues889@gmail.com</t>
  </si>
  <si>
    <t>36100194848</t>
  </si>
  <si>
    <t>Rua Ovídeo de Paula Corrêa</t>
  </si>
  <si>
    <t>Vila Nasser</t>
  </si>
  <si>
    <t>79117-260</t>
  </si>
  <si>
    <t>Glauciana Campos de Miranda Rodrigues</t>
  </si>
  <si>
    <t>mirandaglauciana@gmail.com</t>
  </si>
  <si>
    <t>72724404149</t>
  </si>
  <si>
    <t>(67) 99178-0496</t>
  </si>
  <si>
    <t>Rua Luiz Lamontana</t>
  </si>
  <si>
    <t>Parque Isabel Garden's</t>
  </si>
  <si>
    <t>79013-451</t>
  </si>
  <si>
    <t>Nayara Moreira Nogueira Barros</t>
  </si>
  <si>
    <t>(67) 99255-8511</t>
  </si>
  <si>
    <t>nayara2020.araujo@gmail.com</t>
  </si>
  <si>
    <t>02672101167</t>
  </si>
  <si>
    <t>Rua Presidente Rodrigues Alves</t>
  </si>
  <si>
    <t>Vila Almeida</t>
  </si>
  <si>
    <t>79112-350</t>
  </si>
  <si>
    <t>Anderson Aparecido dos Santos</t>
  </si>
  <si>
    <t>ander3864@gmail.com</t>
  </si>
  <si>
    <t>00870227106</t>
  </si>
  <si>
    <t>(67) 99658-7747</t>
  </si>
  <si>
    <t>Rua José Ramão Cantero</t>
  </si>
  <si>
    <t>79040-180</t>
  </si>
  <si>
    <t>BLOCO 8 APT 02</t>
  </si>
  <si>
    <t>(67) 99198-7057</t>
  </si>
  <si>
    <t>Eliane Cristina Marchiore Biagi</t>
  </si>
  <si>
    <t>crisbiagi4351@gmail.com</t>
  </si>
  <si>
    <t>04902703106</t>
  </si>
  <si>
    <t>Avenida Ana Rosa Castilho Ocampos</t>
  </si>
  <si>
    <t>Jardim Montevidéu</t>
  </si>
  <si>
    <t>79035-320</t>
  </si>
  <si>
    <t>Melchior Carneiro</t>
  </si>
  <si>
    <t>arquiteturamc@hotmail.com</t>
  </si>
  <si>
    <t>80947824120</t>
  </si>
  <si>
    <t>(67) 98404-9558</t>
  </si>
  <si>
    <t>Rua Mogi Mirim</t>
  </si>
  <si>
    <t>Residencial Oliveira Iii</t>
  </si>
  <si>
    <t>79091-777</t>
  </si>
  <si>
    <t>(91) 98707-4817</t>
  </si>
  <si>
    <t>Larissa Pamplona dos Anjos</t>
  </si>
  <si>
    <t xml:space="preserve"> larissaanjos.lgc@hotmail.com</t>
  </si>
  <si>
    <t>01366662210</t>
  </si>
  <si>
    <t>Rua Villas de Paloma</t>
  </si>
  <si>
    <t>Vila Cidade Morena</t>
  </si>
  <si>
    <t>79064-200</t>
  </si>
  <si>
    <t>Iziane Pereira Nunes</t>
  </si>
  <si>
    <t>(67) 99269-9302</t>
  </si>
  <si>
    <t>izianep@gmail.com</t>
  </si>
  <si>
    <t>70605269190</t>
  </si>
  <si>
    <t>Rua Frei Caneca</t>
  </si>
  <si>
    <t>Jardim Noroeste</t>
  </si>
  <si>
    <t>79045-140</t>
  </si>
  <si>
    <t>Sim</t>
  </si>
  <si>
    <t>Natália Marques Benedito</t>
  </si>
  <si>
    <t>(67) 99889-8961</t>
  </si>
  <si>
    <t>marquesbeneditonatlia@gmail.com</t>
  </si>
  <si>
    <t>04438165148</t>
  </si>
  <si>
    <t>Rua Vicente Lopes Gondim</t>
  </si>
  <si>
    <t>79032-020</t>
  </si>
  <si>
    <t>CASA 02</t>
  </si>
  <si>
    <t>Leandro Carvalho de Souza</t>
  </si>
  <si>
    <t>(67) 9910-2516</t>
  </si>
  <si>
    <t>(67) 99102-5162</t>
  </si>
  <si>
    <t>souza.adm@outlook.com.br</t>
  </si>
  <si>
    <t>04661480112</t>
  </si>
  <si>
    <t>Avenida Senador Antonio Mendes Canale</t>
  </si>
  <si>
    <t>Pioneiros</t>
  </si>
  <si>
    <t>79070-295</t>
  </si>
  <si>
    <t>APTº 308 BLOCO 2</t>
  </si>
  <si>
    <t>Maria Aparecida Pimentel de Matos dos Santos</t>
  </si>
  <si>
    <t>(67) 98407-6474</t>
  </si>
  <si>
    <t>mapm_cida@hotmail.com</t>
  </si>
  <si>
    <t>79371426187</t>
  </si>
  <si>
    <t>Rua Marquês de Herval</t>
  </si>
  <si>
    <t>Mata do Jacinto</t>
  </si>
  <si>
    <t>79033-560</t>
  </si>
  <si>
    <t>Alana Ferreira de Oliveira</t>
  </si>
  <si>
    <t>oliveiraalana@outlook.com.br</t>
  </si>
  <si>
    <t>04945714118</t>
  </si>
  <si>
    <t>(67) 9986-1995</t>
  </si>
  <si>
    <t>Rua Pocrane</t>
  </si>
  <si>
    <t>79117-463</t>
  </si>
  <si>
    <t>casa 90</t>
  </si>
  <si>
    <t>Estágio (cna Na Escola Pública)</t>
  </si>
  <si>
    <t>Matheus Henrique Leite</t>
  </si>
  <si>
    <t>mleite816@gmail.com</t>
  </si>
  <si>
    <t>06632872190</t>
  </si>
  <si>
    <t>(67) 8143-3942</t>
  </si>
  <si>
    <t>(67) 99168-3903</t>
  </si>
  <si>
    <t>RUA QUATORZE DE JULHO 5147</t>
  </si>
  <si>
    <t>Monte Castelo</t>
  </si>
  <si>
    <t>79011-901</t>
  </si>
  <si>
    <t>BL D3 apto 32</t>
  </si>
  <si>
    <t>(67) 98114-9134</t>
  </si>
  <si>
    <t>Hugo Eduardo Tago</t>
  </si>
  <si>
    <t>hugotago@hotmail.com</t>
  </si>
  <si>
    <t>71968660100</t>
  </si>
  <si>
    <t>Rua das Américas</t>
  </si>
  <si>
    <t>Loteamento Paulo Vi</t>
  </si>
  <si>
    <t>79023-015</t>
  </si>
  <si>
    <t>BLOCO B APTº. 4 VILA MARGARIDA</t>
  </si>
  <si>
    <t>Mateus Ortiz</t>
  </si>
  <si>
    <t>(67) 99133-4753</t>
  </si>
  <si>
    <t>matteusorttiz@gmail.com</t>
  </si>
  <si>
    <t>05576351100</t>
  </si>
  <si>
    <t>Rua Caraíba</t>
  </si>
  <si>
    <t>Jardim Canguru</t>
  </si>
  <si>
    <t>79072-264</t>
  </si>
  <si>
    <t>(67) 99314-7795</t>
  </si>
  <si>
    <t>Daiane Rocha dos Santos</t>
  </si>
  <si>
    <t>rochasantos1106@gmail.com</t>
  </si>
  <si>
    <t>97770493153</t>
  </si>
  <si>
    <t>Rua Guariroba</t>
  </si>
  <si>
    <t>Guanandi</t>
  </si>
  <si>
    <t>79086-280</t>
  </si>
  <si>
    <t>CASA 01</t>
  </si>
  <si>
    <t>(67) 99158-8153</t>
  </si>
  <si>
    <t>Andressa da Silva Lovera</t>
  </si>
  <si>
    <t>andressalovera@outlook.com</t>
  </si>
  <si>
    <t>03052581171</t>
  </si>
  <si>
    <t>Rua Jerônimo de Carvalho</t>
  </si>
  <si>
    <t>79033-200</t>
  </si>
  <si>
    <t>(67) 99103-2077</t>
  </si>
  <si>
    <t>Mayra Gonzales Mota</t>
  </si>
  <si>
    <t>ra190785@ucdb.br</t>
  </si>
  <si>
    <t>00648888193</t>
  </si>
  <si>
    <t>Rua Manduba</t>
  </si>
  <si>
    <t>79035-230</t>
  </si>
  <si>
    <t>(67) 98484-6454</t>
  </si>
  <si>
    <t>Mario Sergio de Medeiros Junior</t>
  </si>
  <si>
    <t>juniorsergiomedeiros@gmail.com</t>
  </si>
  <si>
    <t>01892500116</t>
  </si>
  <si>
    <t>Rua Doutor Jivago</t>
  </si>
  <si>
    <t>Bosque de Avilan</t>
  </si>
  <si>
    <t>79012-510</t>
  </si>
  <si>
    <t>(67) 99209-2181</t>
  </si>
  <si>
    <t>Ana Jessica do Nascimento</t>
  </si>
  <si>
    <t>nascimento.jessica0407@gmail.com</t>
  </si>
  <si>
    <t>95082000144</t>
  </si>
  <si>
    <t>Rua Eugênia Lima</t>
  </si>
  <si>
    <t>79017-030</t>
  </si>
  <si>
    <t>(67) 99116-4108</t>
  </si>
  <si>
    <t>Clóvis Moreira Alves</t>
  </si>
  <si>
    <t>alvesparaguassu@gmail.com</t>
  </si>
  <si>
    <t>00481462180</t>
  </si>
  <si>
    <t>Avenida Afonso Pena</t>
  </si>
  <si>
    <t>79031-010</t>
  </si>
  <si>
    <t>(67) 99207-0546</t>
  </si>
  <si>
    <t>Maria Cristina Dias Siriano</t>
  </si>
  <si>
    <t>cristinasiriano@gmail.com</t>
  </si>
  <si>
    <t>90146662172</t>
  </si>
  <si>
    <t>Rua Ribeirão Bonito</t>
  </si>
  <si>
    <t>Jardim Samambaia</t>
  </si>
  <si>
    <t>79044-560</t>
  </si>
  <si>
    <t>COBRANÇA DIRETA CNA</t>
  </si>
  <si>
    <t xml:space="preserve"> Tempo de Atraso </t>
  </si>
  <si>
    <t xml:space="preserve"> Desconto em Juros/Multa </t>
  </si>
  <si>
    <t xml:space="preserve"> Desconto no Principal (À Vista) </t>
  </si>
  <si>
    <t>1A. PARCELA A VISTA</t>
  </si>
  <si>
    <t xml:space="preserve"> Parcelas Máximas </t>
  </si>
  <si>
    <t>COBRANÇA SERASA</t>
  </si>
  <si>
    <t>COBRANÇA FEIRÃO SERASA</t>
  </si>
  <si>
    <t>DIAS DE ATRASO</t>
  </si>
  <si>
    <t>Juros/Multas a Cobrar</t>
  </si>
  <si>
    <t>Valor Final a Pagar (Principal + Juros com desconto)</t>
  </si>
  <si>
    <t>Valor da 1ª Parcela (Entrada à Vista)</t>
  </si>
  <si>
    <t>Valor da 1ª Parcela (Entrada)</t>
  </si>
  <si>
    <t>Valor das Parcelas Restante</t>
  </si>
  <si>
    <t>Valor das Parcelas x Númerro de Parcelas</t>
  </si>
  <si>
    <t>Valor Final a Pagar (Principal + Juros + Multa)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</si>
</sst>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#0"/>
    <numFmt numFmtId="165" formatCode="\R\$#,##0.00"/>
  </numFmts>
  <fonts count="8" x14ac:knownFonts="1">
    <font>
      <sz val="11"/>
      <name val="Calibri"/>
    </font>
    <font>
      <b/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0"/>
      <color rgb="FF1F1F1F"/>
      <name val="Arial"/>
      <family val="2"/>
    </font>
    <font>
      <b/>
      <sz val="16"/>
      <name val="Calibri"/>
      <family val="2"/>
    </font>
    <font>
      <b/>
      <sz val="18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4999237037263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1">
    <xf numFmtId="0" fontId="0" fillId="0" borderId="0" xfId="0"/>
    <xf numFmtId="164" fontId="0" fillId="0" borderId="0" xfId="0" applyNumberFormat="1"/>
    <xf numFmtId="165" fontId="0" fillId="0" borderId="0" xfId="0" applyNumberFormat="1"/>
    <xf numFmtId="44" fontId="0" fillId="0" borderId="0" xfId="1" applyFont="1"/>
    <xf numFmtId="14" fontId="0" fillId="0" borderId="0" xfId="0" applyNumberFormat="1"/>
    <xf numFmtId="1" fontId="0" fillId="0" borderId="0" xfId="0" applyNumberFormat="1"/>
    <xf numFmtId="4" fontId="0" fillId="0" borderId="0" xfId="0" applyNumberFormat="1"/>
    <xf numFmtId="0" fontId="0" fillId="3" borderId="0" xfId="0" applyFill="1"/>
    <xf numFmtId="9" fontId="0" fillId="3" borderId="0" xfId="2" applyFont="1" applyFill="1"/>
    <xf numFmtId="9" fontId="0" fillId="3" borderId="0" xfId="0" applyNumberFormat="1" applyFill="1"/>
    <xf numFmtId="9" fontId="0" fillId="3" borderId="0" xfId="1" applyNumberFormat="1" applyFont="1" applyFill="1" applyBorder="1"/>
    <xf numFmtId="0" fontId="0" fillId="4" borderId="0" xfId="0" applyFill="1"/>
    <xf numFmtId="9" fontId="0" fillId="4" borderId="0" xfId="0" applyNumberFormat="1" applyFill="1"/>
    <xf numFmtId="44" fontId="0" fillId="4" borderId="0" xfId="1" applyFont="1" applyFill="1"/>
    <xf numFmtId="9" fontId="0" fillId="4" borderId="0" xfId="1" applyNumberFormat="1" applyFont="1" applyFill="1"/>
    <xf numFmtId="0" fontId="0" fillId="5" borderId="0" xfId="0" applyFill="1"/>
    <xf numFmtId="9" fontId="0" fillId="5" borderId="0" xfId="0" applyNumberFormat="1" applyFill="1"/>
    <xf numFmtId="44" fontId="0" fillId="5" borderId="0" xfId="1" applyFont="1" applyFill="1"/>
    <xf numFmtId="9" fontId="0" fillId="5" borderId="0" xfId="1" applyNumberFormat="1" applyFont="1" applyFill="1"/>
    <xf numFmtId="0" fontId="4" fillId="0" borderId="0" xfId="0" applyFont="1"/>
    <xf numFmtId="1" fontId="3" fillId="3" borderId="0" xfId="0" applyNumberFormat="1" applyFont="1" applyFill="1"/>
    <xf numFmtId="0" fontId="1" fillId="2" borderId="0" xfId="0" applyFont="1" applyFill="1" applyAlignment="1">
      <alignment vertical="center" wrapText="1"/>
    </xf>
    <xf numFmtId="0" fontId="5" fillId="2" borderId="0" xfId="0" applyFont="1" applyFill="1" applyAlignment="1">
      <alignment vertical="center" wrapText="1"/>
    </xf>
    <xf numFmtId="44" fontId="1" fillId="2" borderId="0" xfId="1" applyFont="1" applyFill="1" applyAlignment="1">
      <alignment vertical="center" wrapText="1"/>
    </xf>
    <xf numFmtId="0" fontId="1" fillId="6" borderId="0" xfId="0" applyFont="1" applyFill="1" applyAlignment="1">
      <alignment vertical="center" wrapText="1"/>
    </xf>
    <xf numFmtId="0" fontId="1" fillId="5" borderId="0" xfId="0" applyFont="1" applyFill="1" applyAlignment="1">
      <alignment vertical="center" wrapText="1"/>
    </xf>
    <xf numFmtId="44" fontId="1" fillId="5" borderId="0" xfId="1" applyFont="1" applyFill="1" applyAlignment="1">
      <alignment vertical="center" wrapText="1"/>
    </xf>
    <xf numFmtId="9" fontId="0" fillId="5" borderId="0" xfId="2" applyFont="1" applyFill="1"/>
    <xf numFmtId="44" fontId="1" fillId="5" borderId="0" xfId="1" applyFont="1" applyFill="1" applyAlignment="1">
      <alignment horizontal="center" vertical="center" wrapText="1"/>
    </xf>
    <xf numFmtId="44" fontId="5" fillId="5" borderId="0" xfId="1" applyFont="1" applyFill="1" applyAlignment="1">
      <alignment vertical="center" wrapText="1"/>
    </xf>
    <xf numFmtId="0" fontId="1" fillId="7" borderId="0" xfId="0" applyFont="1" applyFill="1" applyAlignment="1">
      <alignment vertical="center" wrapText="1"/>
    </xf>
    <xf numFmtId="44" fontId="1" fillId="7" borderId="0" xfId="1" applyFont="1" applyFill="1" applyAlignment="1">
      <alignment vertical="center" wrapText="1"/>
    </xf>
    <xf numFmtId="44" fontId="1" fillId="7" borderId="0" xfId="1" applyFont="1" applyFill="1" applyAlignment="1">
      <alignment horizontal="center" vertical="center" wrapText="1"/>
    </xf>
    <xf numFmtId="44" fontId="5" fillId="7" borderId="0" xfId="1" applyFont="1" applyFill="1" applyAlignment="1">
      <alignment vertical="center" wrapText="1"/>
    </xf>
    <xf numFmtId="0" fontId="1" fillId="6" borderId="0" xfId="0" applyFont="1" applyFill="1" applyAlignment="1">
      <alignment vertical="center"/>
    </xf>
    <xf numFmtId="14" fontId="1" fillId="6" borderId="0" xfId="0" applyNumberFormat="1" applyFont="1" applyFill="1" applyAlignment="1">
      <alignment vertical="center"/>
    </xf>
    <xf numFmtId="14" fontId="4" fillId="6" borderId="0" xfId="0" applyNumberFormat="1" applyFont="1" applyFill="1" applyAlignment="1">
      <alignment vertical="center"/>
    </xf>
    <xf numFmtId="44" fontId="3" fillId="8" borderId="0" xfId="1" applyFont="1" applyFill="1"/>
    <xf numFmtId="4" fontId="0" fillId="8" borderId="0" xfId="0" applyNumberFormat="1" applyFill="1"/>
    <xf numFmtId="44" fontId="0" fillId="8" borderId="0" xfId="0" applyNumberFormat="1" applyFill="1"/>
    <xf numFmtId="0" fontId="0" fillId="8" borderId="0" xfId="0" applyFill="1"/>
    <xf numFmtId="4" fontId="0" fillId="7" borderId="0" xfId="0" applyNumberFormat="1" applyFill="1"/>
    <xf numFmtId="165" fontId="0" fillId="7" borderId="0" xfId="0" applyNumberFormat="1" applyFill="1"/>
    <xf numFmtId="44" fontId="0" fillId="7" borderId="0" xfId="0" applyNumberFormat="1" applyFill="1"/>
    <xf numFmtId="0" fontId="0" fillId="7" borderId="0" xfId="0" applyFill="1"/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44" fontId="6" fillId="2" borderId="0" xfId="1" applyFont="1" applyFill="1" applyAlignment="1">
      <alignment horizontal="center" vertical="center"/>
    </xf>
    <xf numFmtId="44" fontId="6" fillId="5" borderId="0" xfId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G207"/>
  <sheetViews>
    <sheetView tabSelected="1" topLeftCell="T1" workbookViewId="0">
      <selection activeCell="V6" sqref="V6"/>
    </sheetView>
  </sheetViews>
  <sheetFormatPr defaultRowHeight="14.4" x14ac:dyDescent="0.3"/>
  <cols>
    <col min="1" max="1" width="31.21875" customWidth="1"/>
    <col min="2" max="2" width="31.5546875" customWidth="1"/>
    <col min="3" max="3" width="29" customWidth="1"/>
    <col min="4" max="4" width="33.5546875" customWidth="1"/>
    <col min="5" max="5" width="32" customWidth="1"/>
    <col min="6" max="6" width="36.109375" customWidth="1"/>
    <col min="7" max="7" width="33.109375" customWidth="1"/>
    <col min="8" max="8" width="31.21875" customWidth="1"/>
    <col min="9" max="9" width="31.88671875" customWidth="1"/>
    <col min="10" max="10" width="29.109375" customWidth="1"/>
    <col min="11" max="11" width="38.44140625" customWidth="1"/>
    <col min="12" max="12" width="28.109375" customWidth="1"/>
    <col min="13" max="13" width="9.109375" customWidth="1"/>
    <col min="14" max="14" width="19.77734375" style="4" customWidth="1"/>
    <col min="15" max="15" width="13.77734375" customWidth="1"/>
    <col min="16" max="16" width="11.33203125" customWidth="1"/>
    <col min="17" max="17" width="12.109375" customWidth="1"/>
    <col min="18" max="18" width="11.5546875" customWidth="1"/>
    <col min="19" max="19" width="11.6640625" customWidth="1"/>
    <col min="20" max="20" width="26.44140625" bestFit="1" customWidth="1"/>
    <col min="21" max="21" width="15.109375" style="4" bestFit="1" customWidth="1"/>
    <col min="22" max="22" width="14.21875" style="3" customWidth="1"/>
    <col min="23" max="23" width="17.21875" customWidth="1"/>
    <col min="24" max="24" width="13.33203125" customWidth="1"/>
    <col min="25" max="26" width="14" bestFit="1" customWidth="1"/>
    <col min="27" max="27" width="18.21875" bestFit="1" customWidth="1"/>
    <col min="28" max="28" width="3.6640625" customWidth="1"/>
    <col min="29" max="33" width="18.21875" style="3" customWidth="1"/>
    <col min="34" max="34" width="18.21875" customWidth="1"/>
    <col min="35" max="35" width="4" customWidth="1"/>
    <col min="36" max="41" width="18.21875" customWidth="1"/>
    <col min="42" max="42" width="6.33203125" customWidth="1"/>
    <col min="43" max="43" width="20.5546875" bestFit="1" customWidth="1"/>
    <col min="44" max="44" width="23.21875" bestFit="1" customWidth="1"/>
    <col min="45" max="45" width="27.109375" bestFit="1" customWidth="1"/>
    <col min="46" max="46" width="18.33203125" bestFit="1" customWidth="1"/>
    <col min="47" max="47" width="16.5546875" bestFit="1" customWidth="1"/>
    <col min="49" max="49" width="16.109375" bestFit="1" customWidth="1"/>
    <col min="50" max="50" width="23.21875" bestFit="1" customWidth="1"/>
    <col min="51" max="51" width="27.109375" bestFit="1" customWidth="1"/>
    <col min="52" max="52" width="18.33203125" bestFit="1" customWidth="1"/>
    <col min="53" max="53" width="16.5546875" bestFit="1" customWidth="1"/>
    <col min="55" max="55" width="20.5546875" bestFit="1" customWidth="1"/>
    <col min="56" max="56" width="23.21875" bestFit="1" customWidth="1"/>
    <col min="57" max="57" width="27.109375" bestFit="1" customWidth="1"/>
    <col min="58" max="58" width="18.33203125" bestFit="1" customWidth="1"/>
    <col min="59" max="59" width="16.5546875" bestFit="1" customWidth="1"/>
  </cols>
  <sheetData>
    <row r="1" spans="1:59" ht="41.4" customHeight="1" x14ac:dyDescent="0.3">
      <c r="V1" s="48" t="s">
        <v>465</v>
      </c>
      <c r="W1" s="48"/>
      <c r="X1" s="48"/>
      <c r="Y1" s="48"/>
      <c r="Z1" s="48"/>
      <c r="AA1" s="48"/>
      <c r="AC1" s="49" t="s">
        <v>458</v>
      </c>
      <c r="AD1" s="49"/>
      <c r="AE1" s="49"/>
      <c r="AF1" s="49"/>
      <c r="AG1" s="49"/>
      <c r="AH1" s="49"/>
      <c r="AJ1" s="50" t="s">
        <v>464</v>
      </c>
      <c r="AK1" s="50"/>
      <c r="AL1" s="50"/>
      <c r="AM1" s="50"/>
      <c r="AN1" s="50"/>
      <c r="AO1" s="50"/>
    </row>
    <row r="2" spans="1:59" ht="57.6" x14ac:dyDescent="0.3">
      <c r="A2" s="34" t="s">
        <v>1</v>
      </c>
      <c r="B2" s="34" t="s">
        <v>2</v>
      </c>
      <c r="C2" s="34" t="s">
        <v>3</v>
      </c>
      <c r="D2" s="34" t="s">
        <v>4</v>
      </c>
      <c r="E2" s="34" t="s">
        <v>5</v>
      </c>
      <c r="F2" s="34" t="s">
        <v>6</v>
      </c>
      <c r="G2" s="34" t="s">
        <v>7</v>
      </c>
      <c r="H2" s="34" t="s">
        <v>8</v>
      </c>
      <c r="I2" s="34" t="s">
        <v>9</v>
      </c>
      <c r="J2" s="34" t="s">
        <v>10</v>
      </c>
      <c r="K2" s="34" t="s">
        <v>11</v>
      </c>
      <c r="L2" s="34" t="s">
        <v>12</v>
      </c>
      <c r="M2" s="34" t="s">
        <v>13</v>
      </c>
      <c r="N2" s="35" t="s">
        <v>14</v>
      </c>
      <c r="O2" s="34" t="s">
        <v>15</v>
      </c>
      <c r="P2" s="34" t="s">
        <v>16</v>
      </c>
      <c r="Q2" s="34" t="s">
        <v>17</v>
      </c>
      <c r="R2" s="34" t="s">
        <v>18</v>
      </c>
      <c r="S2" s="34" t="s">
        <v>19</v>
      </c>
      <c r="T2" s="34" t="s">
        <v>20</v>
      </c>
      <c r="U2" s="36" t="s">
        <v>466</v>
      </c>
      <c r="V2" s="23" t="s">
        <v>467</v>
      </c>
      <c r="W2" s="21" t="s">
        <v>468</v>
      </c>
      <c r="X2" s="21" t="s">
        <v>469</v>
      </c>
      <c r="Y2" s="21" t="s">
        <v>470</v>
      </c>
      <c r="Z2" s="22" t="s">
        <v>471</v>
      </c>
      <c r="AA2" s="21" t="s">
        <v>472</v>
      </c>
      <c r="AB2" s="24"/>
      <c r="AC2" s="26" t="s">
        <v>467</v>
      </c>
      <c r="AD2" s="28" t="s">
        <v>473</v>
      </c>
      <c r="AE2" s="26" t="s">
        <v>469</v>
      </c>
      <c r="AF2" s="26" t="s">
        <v>470</v>
      </c>
      <c r="AG2" s="29" t="s">
        <v>471</v>
      </c>
      <c r="AH2" s="25" t="s">
        <v>472</v>
      </c>
      <c r="AI2" s="24"/>
      <c r="AJ2" s="31" t="s">
        <v>467</v>
      </c>
      <c r="AK2" s="32" t="s">
        <v>473</v>
      </c>
      <c r="AL2" s="31" t="s">
        <v>469</v>
      </c>
      <c r="AM2" s="31" t="s">
        <v>470</v>
      </c>
      <c r="AN2" s="33" t="s">
        <v>471</v>
      </c>
      <c r="AO2" s="30" t="s">
        <v>472</v>
      </c>
      <c r="AP2" s="24"/>
      <c r="AQ2" s="45" t="s">
        <v>458</v>
      </c>
      <c r="AR2" s="45"/>
      <c r="AS2" s="45"/>
      <c r="AT2" s="45"/>
      <c r="AU2" s="45"/>
      <c r="AV2" s="19"/>
      <c r="AW2" s="46" t="s">
        <v>464</v>
      </c>
      <c r="AX2" s="46"/>
      <c r="AY2" s="46"/>
      <c r="AZ2" s="46"/>
      <c r="BA2" s="46"/>
      <c r="BB2" s="19"/>
      <c r="BC2" s="47" t="s">
        <v>465</v>
      </c>
      <c r="BD2" s="47"/>
      <c r="BE2" s="47"/>
      <c r="BF2" s="47"/>
      <c r="BG2" s="47"/>
    </row>
    <row r="3" spans="1:59" x14ac:dyDescent="0.3">
      <c r="A3" t="s">
        <v>22</v>
      </c>
      <c r="B3" t="s">
        <v>23</v>
      </c>
      <c r="C3" t="s">
        <v>24</v>
      </c>
      <c r="D3" t="s">
        <v>25</v>
      </c>
      <c r="E3" t="s">
        <v>26</v>
      </c>
      <c r="F3" t="s">
        <v>27</v>
      </c>
      <c r="G3" t="s">
        <v>21</v>
      </c>
      <c r="H3" t="s">
        <v>28</v>
      </c>
      <c r="I3" t="s">
        <v>29</v>
      </c>
      <c r="J3" s="1">
        <v>79052400</v>
      </c>
      <c r="K3" t="s">
        <v>21</v>
      </c>
      <c r="L3" t="s">
        <v>30</v>
      </c>
      <c r="M3" s="1">
        <v>4</v>
      </c>
      <c r="N3" s="4">
        <v>42009</v>
      </c>
      <c r="O3" s="2">
        <v>283.12</v>
      </c>
      <c r="P3" s="2">
        <v>769.9</v>
      </c>
      <c r="Q3" s="2">
        <v>0</v>
      </c>
      <c r="R3" s="2">
        <f>O3+P3</f>
        <v>1053.02</v>
      </c>
      <c r="S3" t="s">
        <v>31</v>
      </c>
      <c r="T3" t="s">
        <v>0</v>
      </c>
      <c r="U3" s="5">
        <v>4081</v>
      </c>
      <c r="V3" s="37">
        <f t="shared" ref="V3:V66" si="0">P3*(1-VLOOKUP(U3, $BC$3:$BG$12, 2, TRUE))</f>
        <v>0</v>
      </c>
      <c r="W3" s="38">
        <f>O3+V3</f>
        <v>283.12</v>
      </c>
      <c r="X3" s="38">
        <f>W3 * (1 - VLOOKUP(U3, $BC$3:$BG$11, 3, TRUE))</f>
        <v>254.80800000000002</v>
      </c>
      <c r="Y3" s="39">
        <f>W3 * VLOOKUP(U3, $BC$3:$BF$11, 4, TRUE)</f>
        <v>127.40400000000001</v>
      </c>
      <c r="Z3" s="39">
        <f>W3-Y3</f>
        <v>155.71600000000001</v>
      </c>
      <c r="AA3" s="40" t="str">
        <f>(TEXT(Z3/VLOOKUP(U3,$BC$4:$BG$11,5,1),"R$ #.##0,00")&amp;" x "&amp;VLOOKUP(U3,$BC$3:$BG$11,5,1)&amp;" Parcelas")</f>
        <v>R$ 38,93 x 4 Parcelas</v>
      </c>
      <c r="AC3" s="17">
        <f>P3+Q24</f>
        <v>769.9</v>
      </c>
      <c r="AD3" s="17">
        <f>R3</f>
        <v>1053.02</v>
      </c>
      <c r="AE3" s="17">
        <f>AD3 * (1 - VLOOKUP(U3, $AQ$3:$AU$11, 3, TRUE))</f>
        <v>895.06700000000001</v>
      </c>
      <c r="AF3" s="17">
        <f>AD3 * (1 - VLOOKUP(U3, $AQ$3:$AU$11, 4, TRUE))</f>
        <v>737.11399999999992</v>
      </c>
      <c r="AG3" s="17">
        <f>AD3-AF3</f>
        <v>315.90600000000006</v>
      </c>
      <c r="AH3" s="15" t="str">
        <f>(TEXT(AG3/VLOOKUP(U3,$AQ$4:$AU$11,5,1),"R$ #.##0,00")&amp;" x "&amp;VLOOKUP(U3,$AQ$4:$AU$11,5,1)&amp;" Parcelas")</f>
        <v>R$ 78,98 x 4 Parcelas</v>
      </c>
      <c r="AJ3" s="41">
        <f>P3+Q24</f>
        <v>769.9</v>
      </c>
      <c r="AK3" s="42">
        <f>R3</f>
        <v>1053.02</v>
      </c>
      <c r="AL3" s="43">
        <f>AK3 * (1 - VLOOKUP(U3, $AW$4:$BA$12, 3, TRUE))</f>
        <v>947.71799999999996</v>
      </c>
      <c r="AM3" s="43">
        <f>AK3 * (1 - VLOOKUP(U3, $AW$4:$BA$12, 4, TRUE))</f>
        <v>631.81200000000001</v>
      </c>
      <c r="AN3" s="43">
        <f>AL3-AJ3</f>
        <v>177.81799999999998</v>
      </c>
      <c r="AO3" s="44" t="str">
        <f>(TEXT(AN3/VLOOKUP(U3,$AW$4:$BA$12,5,1),"R$ #.##0,00")&amp;" x "&amp;VLOOKUP(U3,$AQ$4:$AU$11,5,1)&amp;" Parcelas")</f>
        <v>R$ 44,45 x 4 Parcelas</v>
      </c>
      <c r="AQ3" s="15" t="s">
        <v>459</v>
      </c>
      <c r="AR3" s="15" t="s">
        <v>460</v>
      </c>
      <c r="AS3" s="15" t="s">
        <v>461</v>
      </c>
      <c r="AT3" s="15" t="s">
        <v>462</v>
      </c>
      <c r="AU3" s="15" t="s">
        <v>463</v>
      </c>
      <c r="AW3" s="11" t="s">
        <v>459</v>
      </c>
      <c r="AX3" s="11" t="s">
        <v>460</v>
      </c>
      <c r="AY3" s="11" t="s">
        <v>461</v>
      </c>
      <c r="AZ3" s="11" t="s">
        <v>462</v>
      </c>
      <c r="BA3" s="11" t="s">
        <v>463</v>
      </c>
      <c r="BC3" s="7" t="s">
        <v>459</v>
      </c>
      <c r="BD3" s="7" t="s">
        <v>460</v>
      </c>
      <c r="BE3" s="7" t="s">
        <v>461</v>
      </c>
      <c r="BF3" s="7" t="s">
        <v>462</v>
      </c>
      <c r="BG3" s="7" t="s">
        <v>463</v>
      </c>
    </row>
    <row r="4" spans="1:59" x14ac:dyDescent="0.3">
      <c r="A4" t="s">
        <v>22</v>
      </c>
      <c r="B4" t="s">
        <v>23</v>
      </c>
      <c r="C4" t="s">
        <v>24</v>
      </c>
      <c r="D4" t="s">
        <v>25</v>
      </c>
      <c r="E4" t="s">
        <v>26</v>
      </c>
      <c r="F4" t="s">
        <v>27</v>
      </c>
      <c r="G4" t="s">
        <v>21</v>
      </c>
      <c r="H4" t="s">
        <v>28</v>
      </c>
      <c r="I4" t="s">
        <v>29</v>
      </c>
      <c r="J4" s="1">
        <v>79052400</v>
      </c>
      <c r="K4" t="s">
        <v>21</v>
      </c>
      <c r="L4" t="s">
        <v>30</v>
      </c>
      <c r="M4" s="1">
        <v>4</v>
      </c>
      <c r="N4" s="4">
        <v>42009</v>
      </c>
      <c r="O4" s="2">
        <v>54.17</v>
      </c>
      <c r="P4" s="2">
        <v>147.31</v>
      </c>
      <c r="Q4" s="2">
        <v>0</v>
      </c>
      <c r="R4" s="2">
        <f>O4+P4</f>
        <v>201.48000000000002</v>
      </c>
      <c r="S4" t="s">
        <v>31</v>
      </c>
      <c r="T4" t="s">
        <v>32</v>
      </c>
      <c r="U4" s="5">
        <f t="shared" ref="U4:U67" ca="1" si="1">TODAY()-N4</f>
        <v>4081</v>
      </c>
      <c r="V4" s="37">
        <f t="shared" ca="1" si="0"/>
        <v>0</v>
      </c>
      <c r="W4" s="38">
        <f t="shared" ref="W4:W67" ca="1" si="2">O4+V4</f>
        <v>54.17</v>
      </c>
      <c r="X4" s="38">
        <f t="shared" ref="X4:X67" ca="1" si="3">W4 * (1 - VLOOKUP(U4, $BC$3:$BG$11, 3, TRUE))</f>
        <v>48.753</v>
      </c>
      <c r="Y4" s="39">
        <f t="shared" ref="Y4:Y16" ca="1" si="4">W4 * VLOOKUP(U4, $BC$3:$BF$11, 4, TRUE)</f>
        <v>24.3765</v>
      </c>
      <c r="Z4" s="39">
        <f t="shared" ref="Z4:Z67" ca="1" si="5">W4-Y4</f>
        <v>29.793500000000002</v>
      </c>
      <c r="AA4" s="40" t="str">
        <f t="shared" ref="AA4:AA67" ca="1" si="6">(TEXT(Z4/VLOOKUP(U4,$BC$4:$BG$11,5,1),"R$ #.##0,00")&amp;" x "&amp;VLOOKUP(U4,$BC$3:$BG$11,5,1)&amp;" Parcelas")</f>
        <v>R$ 7,45 x 4 Parcelas</v>
      </c>
      <c r="AC4" s="17">
        <f t="shared" ref="AC4:AC67" si="7">P4+Q25</f>
        <v>147.31</v>
      </c>
      <c r="AD4" s="17">
        <f t="shared" ref="AD4:AD67" si="8">R4</f>
        <v>201.48000000000002</v>
      </c>
      <c r="AE4" s="17">
        <f t="shared" ref="AE4:AE67" ca="1" si="9">AD4 * (1 - VLOOKUP(U4, $AQ$3:$AU$11, 3, TRUE))</f>
        <v>171.25800000000001</v>
      </c>
      <c r="AF4" s="17">
        <f t="shared" ref="AF4:AF67" ca="1" si="10">AD4 * (1 - VLOOKUP(U4, $AQ$3:$AU$11, 4, TRUE))</f>
        <v>141.036</v>
      </c>
      <c r="AG4" s="17">
        <f t="shared" ref="AG4:AG67" ca="1" si="11">AD4-AF4</f>
        <v>60.444000000000017</v>
      </c>
      <c r="AH4" s="15" t="str">
        <f t="shared" ref="AH4:AH67" ca="1" si="12">(TEXT(AG4/VLOOKUP(U4,$AQ$4:$AU$11,5,1),"R$ #.##0,00")&amp;" x "&amp;VLOOKUP(U4,$AQ$4:$AU$11,5,1)&amp;" Parcelas")</f>
        <v>R$ 15,11 x 4 Parcelas</v>
      </c>
      <c r="AJ4" s="41">
        <f t="shared" ref="AJ4:AJ67" si="13">P4+Q25</f>
        <v>147.31</v>
      </c>
      <c r="AK4" s="42">
        <f t="shared" ref="AK4:AK67" si="14">R4</f>
        <v>201.48000000000002</v>
      </c>
      <c r="AL4" s="43">
        <f t="shared" ref="AL4:AL67" ca="1" si="15">AK4 * (1 - VLOOKUP(U4, $AW$4:$BA$12, 3, TRUE))</f>
        <v>181.33200000000002</v>
      </c>
      <c r="AM4" s="43">
        <f t="shared" ref="AM4:AM67" ca="1" si="16">AK4 * (1 - VLOOKUP(U4, $AW$4:$BA$12, 4, TRUE))</f>
        <v>120.88800000000001</v>
      </c>
      <c r="AN4" s="43">
        <f t="shared" ref="AN4:AN67" ca="1" si="17">AL4-AJ4</f>
        <v>34.02200000000002</v>
      </c>
      <c r="AO4" s="44" t="str">
        <f t="shared" ref="AO4:AO67" ca="1" si="18">(TEXT(AN4/VLOOKUP(U4,$AW$4:$BA$12,5,1),"R$ #.##0,00")&amp;" x "&amp;VLOOKUP(U4,$AQ$4:$AU$11,5,1)&amp;" Parcelas")</f>
        <v>R$ 8,51 x 4 Parcelas</v>
      </c>
      <c r="AQ4" s="15">
        <v>1</v>
      </c>
      <c r="AR4" s="16">
        <v>0</v>
      </c>
      <c r="AS4" s="16">
        <v>0.05</v>
      </c>
      <c r="AT4" s="27">
        <v>1</v>
      </c>
      <c r="AU4" s="15">
        <v>2</v>
      </c>
      <c r="AW4" s="11">
        <v>1</v>
      </c>
      <c r="AX4" s="12">
        <v>0</v>
      </c>
      <c r="AY4" s="12">
        <v>0.03</v>
      </c>
      <c r="AZ4" s="13"/>
      <c r="BA4" s="11">
        <v>2</v>
      </c>
      <c r="BC4" s="7">
        <v>1</v>
      </c>
      <c r="BD4" s="7">
        <v>0</v>
      </c>
      <c r="BE4" s="7">
        <v>0</v>
      </c>
      <c r="BF4" s="7">
        <v>0</v>
      </c>
      <c r="BG4" s="7">
        <v>1</v>
      </c>
    </row>
    <row r="5" spans="1:59" x14ac:dyDescent="0.3">
      <c r="A5" t="s">
        <v>33</v>
      </c>
      <c r="B5" t="s">
        <v>34</v>
      </c>
      <c r="C5" t="s">
        <v>35</v>
      </c>
      <c r="D5" t="s">
        <v>36</v>
      </c>
      <c r="E5" t="s">
        <v>37</v>
      </c>
      <c r="F5" t="s">
        <v>38</v>
      </c>
      <c r="G5" s="1">
        <v>235</v>
      </c>
      <c r="H5" t="s">
        <v>39</v>
      </c>
      <c r="I5" t="s">
        <v>29</v>
      </c>
      <c r="J5" s="1">
        <v>79023270</v>
      </c>
      <c r="K5" t="s">
        <v>21</v>
      </c>
      <c r="L5" t="s">
        <v>30</v>
      </c>
      <c r="M5" s="1">
        <v>6</v>
      </c>
      <c r="N5" s="4">
        <v>42014</v>
      </c>
      <c r="O5" s="2">
        <v>48.15</v>
      </c>
      <c r="P5" s="2">
        <v>130.71</v>
      </c>
      <c r="Q5" s="2">
        <v>0</v>
      </c>
      <c r="R5" s="2">
        <f t="shared" ref="R5:R68" si="19">O5+P5</f>
        <v>178.86</v>
      </c>
      <c r="S5" t="s">
        <v>31</v>
      </c>
      <c r="T5" t="s">
        <v>32</v>
      </c>
      <c r="U5" s="5">
        <f t="shared" ca="1" si="1"/>
        <v>4076</v>
      </c>
      <c r="V5" s="37">
        <f t="shared" ca="1" si="0"/>
        <v>0</v>
      </c>
      <c r="W5" s="38">
        <f t="shared" ca="1" si="2"/>
        <v>48.15</v>
      </c>
      <c r="X5" s="38">
        <f t="shared" ca="1" si="3"/>
        <v>43.335000000000001</v>
      </c>
      <c r="Y5" s="39">
        <f t="shared" ca="1" si="4"/>
        <v>21.6675</v>
      </c>
      <c r="Z5" s="39">
        <f t="shared" ca="1" si="5"/>
        <v>26.482499999999998</v>
      </c>
      <c r="AA5" s="40" t="str">
        <f t="shared" ca="1" si="6"/>
        <v>R$ 6,62 x 4 Parcelas</v>
      </c>
      <c r="AC5" s="17">
        <f t="shared" si="7"/>
        <v>130.71</v>
      </c>
      <c r="AD5" s="17">
        <f t="shared" si="8"/>
        <v>178.86</v>
      </c>
      <c r="AE5" s="17">
        <f t="shared" ca="1" si="9"/>
        <v>152.03100000000001</v>
      </c>
      <c r="AF5" s="17">
        <f t="shared" ca="1" si="10"/>
        <v>125.202</v>
      </c>
      <c r="AG5" s="17">
        <f t="shared" ca="1" si="11"/>
        <v>53.658000000000015</v>
      </c>
      <c r="AH5" s="15" t="str">
        <f t="shared" ca="1" si="12"/>
        <v>R$ 13,41 x 4 Parcelas</v>
      </c>
      <c r="AJ5" s="41">
        <f t="shared" si="13"/>
        <v>130.71</v>
      </c>
      <c r="AK5" s="42">
        <f t="shared" si="14"/>
        <v>178.86</v>
      </c>
      <c r="AL5" s="43">
        <f t="shared" ca="1" si="15"/>
        <v>160.97400000000002</v>
      </c>
      <c r="AM5" s="43">
        <f t="shared" ca="1" si="16"/>
        <v>107.316</v>
      </c>
      <c r="AN5" s="43">
        <f t="shared" ca="1" si="17"/>
        <v>30.26400000000001</v>
      </c>
      <c r="AO5" s="44" t="str">
        <f t="shared" ca="1" si="18"/>
        <v>R$ 7,57 x 4 Parcelas</v>
      </c>
      <c r="AQ5" s="15">
        <v>31</v>
      </c>
      <c r="AR5" s="16">
        <v>0</v>
      </c>
      <c r="AS5" s="16">
        <v>7.0000000000000007E-2</v>
      </c>
      <c r="AT5" s="18">
        <v>0.3</v>
      </c>
      <c r="AU5" s="15">
        <v>3</v>
      </c>
      <c r="AW5" s="11">
        <v>31</v>
      </c>
      <c r="AX5" s="12">
        <v>0</v>
      </c>
      <c r="AY5" s="12">
        <v>0.04</v>
      </c>
      <c r="AZ5" s="14">
        <v>0.4</v>
      </c>
      <c r="BA5" s="11">
        <v>3</v>
      </c>
      <c r="BC5" s="20">
        <v>1461</v>
      </c>
      <c r="BD5" s="8">
        <v>0.8</v>
      </c>
      <c r="BE5" s="9">
        <v>0.05</v>
      </c>
      <c r="BF5" s="10">
        <v>0.45</v>
      </c>
      <c r="BG5" s="7">
        <v>2</v>
      </c>
    </row>
    <row r="6" spans="1:59" x14ac:dyDescent="0.3">
      <c r="A6" t="s">
        <v>40</v>
      </c>
      <c r="B6" t="s">
        <v>41</v>
      </c>
      <c r="C6" t="s">
        <v>42</v>
      </c>
      <c r="D6" t="s">
        <v>43</v>
      </c>
      <c r="E6" t="s">
        <v>44</v>
      </c>
      <c r="F6" t="s">
        <v>45</v>
      </c>
      <c r="G6" t="s">
        <v>21</v>
      </c>
      <c r="H6" t="s">
        <v>46</v>
      </c>
      <c r="I6" t="s">
        <v>29</v>
      </c>
      <c r="J6" s="1">
        <v>79002331</v>
      </c>
      <c r="K6" t="s">
        <v>47</v>
      </c>
      <c r="L6" t="s">
        <v>48</v>
      </c>
      <c r="M6" s="1">
        <v>4</v>
      </c>
      <c r="N6" s="4">
        <v>42014</v>
      </c>
      <c r="O6" s="2">
        <v>55</v>
      </c>
      <c r="P6" s="2">
        <v>149.31</v>
      </c>
      <c r="Q6" s="2">
        <v>0</v>
      </c>
      <c r="R6" s="2">
        <f t="shared" si="19"/>
        <v>204.31</v>
      </c>
      <c r="S6" t="s">
        <v>31</v>
      </c>
      <c r="T6" t="s">
        <v>32</v>
      </c>
      <c r="U6" s="5">
        <f t="shared" ca="1" si="1"/>
        <v>4076</v>
      </c>
      <c r="V6" s="37">
        <f t="shared" ca="1" si="0"/>
        <v>0</v>
      </c>
      <c r="W6" s="38">
        <f t="shared" ca="1" si="2"/>
        <v>55</v>
      </c>
      <c r="X6" s="38">
        <f t="shared" ca="1" si="3"/>
        <v>49.5</v>
      </c>
      <c r="Y6" s="39">
        <f t="shared" ca="1" si="4"/>
        <v>24.75</v>
      </c>
      <c r="Z6" s="39">
        <f t="shared" ca="1" si="5"/>
        <v>30.25</v>
      </c>
      <c r="AA6" s="40" t="str">
        <f t="shared" ca="1" si="6"/>
        <v>R$ 7,56 x 4 Parcelas</v>
      </c>
      <c r="AC6" s="17">
        <f t="shared" si="7"/>
        <v>149.31</v>
      </c>
      <c r="AD6" s="17">
        <f t="shared" si="8"/>
        <v>204.31</v>
      </c>
      <c r="AE6" s="17">
        <f t="shared" ca="1" si="9"/>
        <v>173.6635</v>
      </c>
      <c r="AF6" s="17">
        <f t="shared" ca="1" si="10"/>
        <v>143.017</v>
      </c>
      <c r="AG6" s="17">
        <f t="shared" ca="1" si="11"/>
        <v>61.293000000000006</v>
      </c>
      <c r="AH6" s="15" t="str">
        <f t="shared" ca="1" si="12"/>
        <v>R$ 15,32 x 4 Parcelas</v>
      </c>
      <c r="AJ6" s="41">
        <f t="shared" si="13"/>
        <v>149.31</v>
      </c>
      <c r="AK6" s="42">
        <f t="shared" si="14"/>
        <v>204.31</v>
      </c>
      <c r="AL6" s="43">
        <f t="shared" ca="1" si="15"/>
        <v>183.87900000000002</v>
      </c>
      <c r="AM6" s="43">
        <f t="shared" ca="1" si="16"/>
        <v>122.586</v>
      </c>
      <c r="AN6" s="43">
        <f t="shared" ca="1" si="17"/>
        <v>34.569000000000017</v>
      </c>
      <c r="AO6" s="44" t="str">
        <f t="shared" ca="1" si="18"/>
        <v>R$ 8,64 x 4 Parcelas</v>
      </c>
      <c r="AQ6" s="15">
        <v>91</v>
      </c>
      <c r="AR6" s="16">
        <v>0</v>
      </c>
      <c r="AS6" s="16">
        <v>0.1</v>
      </c>
      <c r="AT6" s="18">
        <v>0.3</v>
      </c>
      <c r="AU6" s="15">
        <v>4</v>
      </c>
      <c r="AW6" s="11">
        <v>91</v>
      </c>
      <c r="AX6" s="12">
        <v>0</v>
      </c>
      <c r="AY6" s="12">
        <v>0.05</v>
      </c>
      <c r="AZ6" s="14">
        <v>0.4</v>
      </c>
      <c r="BA6" s="11">
        <v>4</v>
      </c>
      <c r="BC6" s="20">
        <v>1825</v>
      </c>
      <c r="BD6" s="9">
        <v>0.85</v>
      </c>
      <c r="BE6" s="9">
        <v>0.06</v>
      </c>
      <c r="BF6" s="10">
        <v>0.45</v>
      </c>
      <c r="BG6" s="7">
        <v>3</v>
      </c>
    </row>
    <row r="7" spans="1:59" x14ac:dyDescent="0.3">
      <c r="A7" t="s">
        <v>49</v>
      </c>
      <c r="B7" t="s">
        <v>21</v>
      </c>
      <c r="C7" t="s">
        <v>50</v>
      </c>
      <c r="D7" t="s">
        <v>36</v>
      </c>
      <c r="E7" t="s">
        <v>51</v>
      </c>
      <c r="F7" t="s">
        <v>52</v>
      </c>
      <c r="G7" s="1">
        <v>0</v>
      </c>
      <c r="H7" t="s">
        <v>39</v>
      </c>
      <c r="I7" t="s">
        <v>29</v>
      </c>
      <c r="J7" s="1">
        <v>79023310</v>
      </c>
      <c r="K7" t="s">
        <v>21</v>
      </c>
      <c r="L7" t="s">
        <v>30</v>
      </c>
      <c r="M7" s="1">
        <v>6</v>
      </c>
      <c r="N7" s="4">
        <v>42014</v>
      </c>
      <c r="O7" s="2">
        <v>213.42</v>
      </c>
      <c r="P7" s="2">
        <v>579.36</v>
      </c>
      <c r="Q7" s="2">
        <v>0</v>
      </c>
      <c r="R7" s="2">
        <f t="shared" si="19"/>
        <v>792.78</v>
      </c>
      <c r="S7" t="s">
        <v>31</v>
      </c>
      <c r="T7" t="s">
        <v>53</v>
      </c>
      <c r="U7" s="5">
        <f t="shared" ca="1" si="1"/>
        <v>4076</v>
      </c>
      <c r="V7" s="37">
        <f t="shared" ca="1" si="0"/>
        <v>0</v>
      </c>
      <c r="W7" s="38">
        <f t="shared" ca="1" si="2"/>
        <v>213.42</v>
      </c>
      <c r="X7" s="38">
        <f t="shared" ca="1" si="3"/>
        <v>192.078</v>
      </c>
      <c r="Y7" s="39">
        <f t="shared" ca="1" si="4"/>
        <v>96.039000000000001</v>
      </c>
      <c r="Z7" s="39">
        <f t="shared" ca="1" si="5"/>
        <v>117.38099999999999</v>
      </c>
      <c r="AA7" s="40" t="str">
        <f t="shared" ca="1" si="6"/>
        <v>R$ 29,35 x 4 Parcelas</v>
      </c>
      <c r="AC7" s="17">
        <f t="shared" si="7"/>
        <v>579.36</v>
      </c>
      <c r="AD7" s="17">
        <f t="shared" si="8"/>
        <v>792.78</v>
      </c>
      <c r="AE7" s="17">
        <f t="shared" ca="1" si="9"/>
        <v>673.86299999999994</v>
      </c>
      <c r="AF7" s="17">
        <f t="shared" ca="1" si="10"/>
        <v>554.94599999999991</v>
      </c>
      <c r="AG7" s="17">
        <f t="shared" ca="1" si="11"/>
        <v>237.83400000000006</v>
      </c>
      <c r="AH7" s="15" t="str">
        <f t="shared" ca="1" si="12"/>
        <v>R$ 59,46 x 4 Parcelas</v>
      </c>
      <c r="AJ7" s="41">
        <f t="shared" si="13"/>
        <v>579.36</v>
      </c>
      <c r="AK7" s="42">
        <f t="shared" si="14"/>
        <v>792.78</v>
      </c>
      <c r="AL7" s="43">
        <f t="shared" ca="1" si="15"/>
        <v>713.50199999999995</v>
      </c>
      <c r="AM7" s="43">
        <f t="shared" ca="1" si="16"/>
        <v>475.66799999999995</v>
      </c>
      <c r="AN7" s="43">
        <f t="shared" ca="1" si="17"/>
        <v>134.14199999999994</v>
      </c>
      <c r="AO7" s="44" t="str">
        <f t="shared" ca="1" si="18"/>
        <v>R$ 33,54 x 4 Parcelas</v>
      </c>
      <c r="AQ7" s="15">
        <v>181</v>
      </c>
      <c r="AR7" s="16">
        <v>0</v>
      </c>
      <c r="AS7" s="16">
        <v>0.11</v>
      </c>
      <c r="AT7" s="18">
        <v>0.3</v>
      </c>
      <c r="AU7" s="15">
        <v>4</v>
      </c>
      <c r="AW7" s="11">
        <v>181</v>
      </c>
      <c r="AX7" s="12">
        <v>0</v>
      </c>
      <c r="AY7" s="12">
        <v>0.06</v>
      </c>
      <c r="AZ7" s="14">
        <v>0.4</v>
      </c>
      <c r="BA7" s="11">
        <v>4</v>
      </c>
      <c r="BC7" s="20">
        <v>2190</v>
      </c>
      <c r="BD7" s="9">
        <v>0.9</v>
      </c>
      <c r="BE7" s="9">
        <v>7.0000000000000007E-2</v>
      </c>
      <c r="BF7" s="10">
        <v>0.45</v>
      </c>
      <c r="BG7" s="7">
        <v>4</v>
      </c>
    </row>
    <row r="8" spans="1:59" x14ac:dyDescent="0.3">
      <c r="A8" t="s">
        <v>33</v>
      </c>
      <c r="B8" t="s">
        <v>34</v>
      </c>
      <c r="C8" t="s">
        <v>35</v>
      </c>
      <c r="D8" t="s">
        <v>36</v>
      </c>
      <c r="E8" t="s">
        <v>37</v>
      </c>
      <c r="F8" t="s">
        <v>38</v>
      </c>
      <c r="G8" s="1">
        <v>235</v>
      </c>
      <c r="H8" t="s">
        <v>39</v>
      </c>
      <c r="I8" t="s">
        <v>29</v>
      </c>
      <c r="J8" s="1">
        <v>79023270</v>
      </c>
      <c r="K8" t="s">
        <v>21</v>
      </c>
      <c r="L8" t="s">
        <v>30</v>
      </c>
      <c r="M8" s="1">
        <v>6</v>
      </c>
      <c r="N8" s="4">
        <v>42014</v>
      </c>
      <c r="O8" s="2">
        <v>213.42</v>
      </c>
      <c r="P8" s="2">
        <v>579.36</v>
      </c>
      <c r="Q8" s="2">
        <v>0</v>
      </c>
      <c r="R8" s="2">
        <f t="shared" si="19"/>
        <v>792.78</v>
      </c>
      <c r="S8" t="s">
        <v>31</v>
      </c>
      <c r="T8" t="s">
        <v>53</v>
      </c>
      <c r="U8" s="5">
        <f t="shared" ca="1" si="1"/>
        <v>4076</v>
      </c>
      <c r="V8" s="37">
        <f t="shared" ca="1" si="0"/>
        <v>0</v>
      </c>
      <c r="W8" s="38">
        <f t="shared" ca="1" si="2"/>
        <v>213.42</v>
      </c>
      <c r="X8" s="38">
        <f t="shared" ca="1" si="3"/>
        <v>192.078</v>
      </c>
      <c r="Y8" s="39">
        <f t="shared" ca="1" si="4"/>
        <v>96.039000000000001</v>
      </c>
      <c r="Z8" s="39">
        <f t="shared" ca="1" si="5"/>
        <v>117.38099999999999</v>
      </c>
      <c r="AA8" s="40" t="str">
        <f t="shared" ca="1" si="6"/>
        <v>R$ 29,35 x 4 Parcelas</v>
      </c>
      <c r="AC8" s="17">
        <f t="shared" si="7"/>
        <v>579.36</v>
      </c>
      <c r="AD8" s="17">
        <f t="shared" si="8"/>
        <v>792.78</v>
      </c>
      <c r="AE8" s="17">
        <f t="shared" ca="1" si="9"/>
        <v>673.86299999999994</v>
      </c>
      <c r="AF8" s="17">
        <f t="shared" ca="1" si="10"/>
        <v>554.94599999999991</v>
      </c>
      <c r="AG8" s="17">
        <f t="shared" ca="1" si="11"/>
        <v>237.83400000000006</v>
      </c>
      <c r="AH8" s="15" t="str">
        <f t="shared" ca="1" si="12"/>
        <v>R$ 59,46 x 4 Parcelas</v>
      </c>
      <c r="AJ8" s="41">
        <f t="shared" si="13"/>
        <v>579.36</v>
      </c>
      <c r="AK8" s="42">
        <f t="shared" si="14"/>
        <v>792.78</v>
      </c>
      <c r="AL8" s="43">
        <f t="shared" ca="1" si="15"/>
        <v>713.50199999999995</v>
      </c>
      <c r="AM8" s="43">
        <f t="shared" ca="1" si="16"/>
        <v>475.66799999999995</v>
      </c>
      <c r="AN8" s="43">
        <f t="shared" ca="1" si="17"/>
        <v>134.14199999999994</v>
      </c>
      <c r="AO8" s="44" t="str">
        <f t="shared" ca="1" si="18"/>
        <v>R$ 33,54 x 4 Parcelas</v>
      </c>
      <c r="AQ8" s="15">
        <v>365</v>
      </c>
      <c r="AR8" s="16">
        <v>0</v>
      </c>
      <c r="AS8" s="16">
        <v>0.12</v>
      </c>
      <c r="AT8" s="18">
        <v>0.3</v>
      </c>
      <c r="AU8" s="15">
        <v>4</v>
      </c>
      <c r="AW8" s="11">
        <v>365</v>
      </c>
      <c r="AX8" s="12">
        <v>0</v>
      </c>
      <c r="AY8" s="12">
        <v>7.0000000000000007E-2</v>
      </c>
      <c r="AZ8" s="14">
        <v>0.4</v>
      </c>
      <c r="BA8" s="11">
        <v>4</v>
      </c>
      <c r="BC8" s="20">
        <v>2555</v>
      </c>
      <c r="BD8" s="9">
        <v>0.95</v>
      </c>
      <c r="BE8" s="9">
        <v>0.08</v>
      </c>
      <c r="BF8" s="10">
        <v>0.45</v>
      </c>
      <c r="BG8" s="7">
        <v>4</v>
      </c>
    </row>
    <row r="9" spans="1:59" x14ac:dyDescent="0.3">
      <c r="A9" t="s">
        <v>54</v>
      </c>
      <c r="B9" t="s">
        <v>21</v>
      </c>
      <c r="C9" t="s">
        <v>55</v>
      </c>
      <c r="D9" t="s">
        <v>56</v>
      </c>
      <c r="E9" t="s">
        <v>57</v>
      </c>
      <c r="F9" t="s">
        <v>58</v>
      </c>
      <c r="G9" t="s">
        <v>21</v>
      </c>
      <c r="H9" t="s">
        <v>59</v>
      </c>
      <c r="I9" t="s">
        <v>29</v>
      </c>
      <c r="J9" s="1">
        <v>79017043</v>
      </c>
      <c r="K9" t="s">
        <v>21</v>
      </c>
      <c r="L9" t="s">
        <v>48</v>
      </c>
      <c r="M9" s="1">
        <v>6</v>
      </c>
      <c r="N9" s="4">
        <v>42014</v>
      </c>
      <c r="O9" s="2">
        <v>301.5</v>
      </c>
      <c r="P9" s="2">
        <v>818.47</v>
      </c>
      <c r="Q9" s="2">
        <v>0</v>
      </c>
      <c r="R9" s="2">
        <f t="shared" si="19"/>
        <v>1119.97</v>
      </c>
      <c r="S9" t="s">
        <v>31</v>
      </c>
      <c r="T9" t="s">
        <v>53</v>
      </c>
      <c r="U9" s="5">
        <f t="shared" ca="1" si="1"/>
        <v>4076</v>
      </c>
      <c r="V9" s="37">
        <f t="shared" ca="1" si="0"/>
        <v>0</v>
      </c>
      <c r="W9" s="38">
        <f t="shared" ca="1" si="2"/>
        <v>301.5</v>
      </c>
      <c r="X9" s="38">
        <f t="shared" ca="1" si="3"/>
        <v>271.35000000000002</v>
      </c>
      <c r="Y9" s="39">
        <f t="shared" ca="1" si="4"/>
        <v>135.67500000000001</v>
      </c>
      <c r="Z9" s="39">
        <f t="shared" ca="1" si="5"/>
        <v>165.82499999999999</v>
      </c>
      <c r="AA9" s="40" t="str">
        <f t="shared" ca="1" si="6"/>
        <v>R$ 41,46 x 4 Parcelas</v>
      </c>
      <c r="AC9" s="17">
        <f t="shared" si="7"/>
        <v>818.47</v>
      </c>
      <c r="AD9" s="17">
        <f t="shared" si="8"/>
        <v>1119.97</v>
      </c>
      <c r="AE9" s="17">
        <f t="shared" ca="1" si="9"/>
        <v>951.97450000000003</v>
      </c>
      <c r="AF9" s="17">
        <f t="shared" ca="1" si="10"/>
        <v>783.97899999999993</v>
      </c>
      <c r="AG9" s="17">
        <f t="shared" ca="1" si="11"/>
        <v>335.9910000000001</v>
      </c>
      <c r="AH9" s="15" t="str">
        <f t="shared" ca="1" si="12"/>
        <v>R$ 84,00 x 4 Parcelas</v>
      </c>
      <c r="AJ9" s="41">
        <f t="shared" si="13"/>
        <v>818.47</v>
      </c>
      <c r="AK9" s="42">
        <f t="shared" si="14"/>
        <v>1119.97</v>
      </c>
      <c r="AL9" s="43">
        <f t="shared" ca="1" si="15"/>
        <v>1007.9730000000001</v>
      </c>
      <c r="AM9" s="43">
        <f t="shared" ca="1" si="16"/>
        <v>671.98199999999997</v>
      </c>
      <c r="AN9" s="43">
        <f t="shared" ca="1" si="17"/>
        <v>189.50300000000004</v>
      </c>
      <c r="AO9" s="44" t="str">
        <f t="shared" ca="1" si="18"/>
        <v>R$ 47,38 x 4 Parcelas</v>
      </c>
      <c r="AQ9" s="15">
        <v>731</v>
      </c>
      <c r="AR9" s="16">
        <v>0</v>
      </c>
      <c r="AS9" s="16">
        <v>0.13</v>
      </c>
      <c r="AT9" s="18">
        <v>0.3</v>
      </c>
      <c r="AU9" s="15">
        <v>4</v>
      </c>
      <c r="AW9" s="11">
        <v>731</v>
      </c>
      <c r="AX9" s="12">
        <v>0</v>
      </c>
      <c r="AY9" s="12">
        <v>0.08</v>
      </c>
      <c r="AZ9" s="14">
        <v>0.4</v>
      </c>
      <c r="BA9" s="11">
        <v>4</v>
      </c>
      <c r="BC9" s="20">
        <v>2920</v>
      </c>
      <c r="BD9" s="9">
        <v>1</v>
      </c>
      <c r="BE9" s="9">
        <v>0.09</v>
      </c>
      <c r="BF9" s="10">
        <v>0.45</v>
      </c>
      <c r="BG9" s="7">
        <v>4</v>
      </c>
    </row>
    <row r="10" spans="1:59" x14ac:dyDescent="0.3">
      <c r="A10" t="s">
        <v>60</v>
      </c>
      <c r="B10" t="s">
        <v>61</v>
      </c>
      <c r="C10" t="s">
        <v>62</v>
      </c>
      <c r="D10" t="s">
        <v>63</v>
      </c>
      <c r="E10" t="s">
        <v>64</v>
      </c>
      <c r="F10" t="s">
        <v>65</v>
      </c>
      <c r="G10" s="1">
        <v>111</v>
      </c>
      <c r="H10" t="s">
        <v>66</v>
      </c>
      <c r="I10" t="s">
        <v>29</v>
      </c>
      <c r="J10" s="1">
        <v>79050112</v>
      </c>
      <c r="K10" t="s">
        <v>67</v>
      </c>
      <c r="L10" t="s">
        <v>30</v>
      </c>
      <c r="M10" s="1">
        <v>1</v>
      </c>
      <c r="N10" s="4">
        <v>42014</v>
      </c>
      <c r="O10" s="2">
        <v>160</v>
      </c>
      <c r="P10" s="2">
        <v>434.35</v>
      </c>
      <c r="Q10" s="2">
        <v>0</v>
      </c>
      <c r="R10" s="2">
        <f t="shared" si="19"/>
        <v>594.35</v>
      </c>
      <c r="S10" t="s">
        <v>31</v>
      </c>
      <c r="T10" t="s">
        <v>0</v>
      </c>
      <c r="U10" s="5">
        <f t="shared" ca="1" si="1"/>
        <v>4076</v>
      </c>
      <c r="V10" s="37">
        <f t="shared" ca="1" si="0"/>
        <v>0</v>
      </c>
      <c r="W10" s="38">
        <f t="shared" ca="1" si="2"/>
        <v>160</v>
      </c>
      <c r="X10" s="38">
        <f t="shared" ca="1" si="3"/>
        <v>144</v>
      </c>
      <c r="Y10" s="39">
        <f t="shared" ca="1" si="4"/>
        <v>72</v>
      </c>
      <c r="Z10" s="39">
        <f t="shared" ca="1" si="5"/>
        <v>88</v>
      </c>
      <c r="AA10" s="40" t="str">
        <f t="shared" ca="1" si="6"/>
        <v>R$ 22,00 x 4 Parcelas</v>
      </c>
      <c r="AC10" s="17">
        <f t="shared" si="7"/>
        <v>434.35</v>
      </c>
      <c r="AD10" s="17">
        <f t="shared" si="8"/>
        <v>594.35</v>
      </c>
      <c r="AE10" s="17">
        <f t="shared" ca="1" si="9"/>
        <v>505.19749999999999</v>
      </c>
      <c r="AF10" s="17">
        <f t="shared" ca="1" si="10"/>
        <v>416.04500000000002</v>
      </c>
      <c r="AG10" s="17">
        <f t="shared" ca="1" si="11"/>
        <v>178.30500000000001</v>
      </c>
      <c r="AH10" s="15" t="str">
        <f t="shared" ca="1" si="12"/>
        <v>R$ 44,58 x 4 Parcelas</v>
      </c>
      <c r="AJ10" s="41">
        <f t="shared" si="13"/>
        <v>434.35</v>
      </c>
      <c r="AK10" s="42">
        <f t="shared" si="14"/>
        <v>594.35</v>
      </c>
      <c r="AL10" s="43">
        <f t="shared" ca="1" si="15"/>
        <v>534.91500000000008</v>
      </c>
      <c r="AM10" s="43">
        <f t="shared" ca="1" si="16"/>
        <v>356.61</v>
      </c>
      <c r="AN10" s="43">
        <f t="shared" ca="1" si="17"/>
        <v>100.56500000000005</v>
      </c>
      <c r="AO10" s="44" t="str">
        <f t="shared" ca="1" si="18"/>
        <v>R$ 25,14 x 4 Parcelas</v>
      </c>
      <c r="AQ10" s="15">
        <v>1096</v>
      </c>
      <c r="AR10" s="16">
        <v>0</v>
      </c>
      <c r="AS10" s="16">
        <v>0.14000000000000001</v>
      </c>
      <c r="AT10" s="18">
        <v>0.3</v>
      </c>
      <c r="AU10" s="15">
        <v>4</v>
      </c>
      <c r="AW10" s="11">
        <v>1096</v>
      </c>
      <c r="AX10" s="12">
        <v>0</v>
      </c>
      <c r="AY10" s="12">
        <v>0.09</v>
      </c>
      <c r="AZ10" s="14">
        <v>0.4</v>
      </c>
      <c r="BA10" s="11">
        <v>4</v>
      </c>
      <c r="BC10" s="20">
        <v>3285</v>
      </c>
      <c r="BD10" s="9">
        <v>1</v>
      </c>
      <c r="BE10" s="9">
        <v>0.1</v>
      </c>
      <c r="BF10" s="10">
        <v>0.45</v>
      </c>
      <c r="BG10" s="7">
        <v>4</v>
      </c>
    </row>
    <row r="11" spans="1:59" x14ac:dyDescent="0.3">
      <c r="A11" t="s">
        <v>68</v>
      </c>
      <c r="B11" t="s">
        <v>69</v>
      </c>
      <c r="C11" t="s">
        <v>70</v>
      </c>
      <c r="D11" t="s">
        <v>71</v>
      </c>
      <c r="E11" t="s">
        <v>72</v>
      </c>
      <c r="F11" t="s">
        <v>73</v>
      </c>
      <c r="G11" t="s">
        <v>21</v>
      </c>
      <c r="H11" t="s">
        <v>74</v>
      </c>
      <c r="I11" t="s">
        <v>29</v>
      </c>
      <c r="J11" t="s">
        <v>75</v>
      </c>
      <c r="K11" t="s">
        <v>21</v>
      </c>
      <c r="L11" t="s">
        <v>30</v>
      </c>
      <c r="M11" s="1">
        <v>1</v>
      </c>
      <c r="N11" s="4">
        <v>42014</v>
      </c>
      <c r="O11" s="2">
        <v>367.67</v>
      </c>
      <c r="P11" s="2">
        <v>998.1</v>
      </c>
      <c r="Q11" s="2">
        <v>0</v>
      </c>
      <c r="R11" s="2">
        <f t="shared" si="19"/>
        <v>1365.77</v>
      </c>
      <c r="S11" t="s">
        <v>31</v>
      </c>
      <c r="T11" t="s">
        <v>0</v>
      </c>
      <c r="U11" s="5">
        <f t="shared" ca="1" si="1"/>
        <v>4076</v>
      </c>
      <c r="V11" s="37">
        <f t="shared" ca="1" si="0"/>
        <v>0</v>
      </c>
      <c r="W11" s="38">
        <f t="shared" ca="1" si="2"/>
        <v>367.67</v>
      </c>
      <c r="X11" s="38">
        <f t="shared" ca="1" si="3"/>
        <v>330.90300000000002</v>
      </c>
      <c r="Y11" s="39">
        <f t="shared" ca="1" si="4"/>
        <v>165.45150000000001</v>
      </c>
      <c r="Z11" s="39">
        <f t="shared" ca="1" si="5"/>
        <v>202.21850000000001</v>
      </c>
      <c r="AA11" s="40" t="str">
        <f t="shared" ca="1" si="6"/>
        <v>R$ 50,55 x 4 Parcelas</v>
      </c>
      <c r="AC11" s="17">
        <f t="shared" si="7"/>
        <v>998.1</v>
      </c>
      <c r="AD11" s="17">
        <f t="shared" si="8"/>
        <v>1365.77</v>
      </c>
      <c r="AE11" s="17">
        <f t="shared" ca="1" si="9"/>
        <v>1160.9044999999999</v>
      </c>
      <c r="AF11" s="17">
        <f t="shared" ca="1" si="10"/>
        <v>956.03899999999987</v>
      </c>
      <c r="AG11" s="17">
        <f t="shared" ca="1" si="11"/>
        <v>409.73100000000011</v>
      </c>
      <c r="AH11" s="15" t="str">
        <f t="shared" ca="1" si="12"/>
        <v>R$ 102,43 x 4 Parcelas</v>
      </c>
      <c r="AJ11" s="41">
        <f t="shared" si="13"/>
        <v>998.1</v>
      </c>
      <c r="AK11" s="42">
        <f t="shared" si="14"/>
        <v>1365.77</v>
      </c>
      <c r="AL11" s="43">
        <f t="shared" ca="1" si="15"/>
        <v>1229.193</v>
      </c>
      <c r="AM11" s="43">
        <f t="shared" ca="1" si="16"/>
        <v>819.46199999999999</v>
      </c>
      <c r="AN11" s="43">
        <f t="shared" ca="1" si="17"/>
        <v>231.09299999999996</v>
      </c>
      <c r="AO11" s="44" t="str">
        <f t="shared" ca="1" si="18"/>
        <v>R$ 57,77 x 4 Parcelas</v>
      </c>
      <c r="AQ11" s="15">
        <v>1461</v>
      </c>
      <c r="AR11" s="16">
        <v>0</v>
      </c>
      <c r="AS11" s="16">
        <v>0.15</v>
      </c>
      <c r="AT11" s="18">
        <v>0.3</v>
      </c>
      <c r="AU11" s="15">
        <v>4</v>
      </c>
      <c r="AW11" s="11">
        <v>1461</v>
      </c>
      <c r="AX11" s="12">
        <v>0</v>
      </c>
      <c r="AY11" s="12">
        <v>0.1</v>
      </c>
      <c r="AZ11" s="14">
        <v>0.4</v>
      </c>
      <c r="BA11" s="11">
        <v>4</v>
      </c>
      <c r="BC11" s="20">
        <v>3650</v>
      </c>
      <c r="BD11" s="9">
        <v>1</v>
      </c>
      <c r="BE11" s="9">
        <v>0.1</v>
      </c>
      <c r="BF11" s="10">
        <v>0.45</v>
      </c>
      <c r="BG11" s="7">
        <v>4</v>
      </c>
    </row>
    <row r="12" spans="1:59" x14ac:dyDescent="0.3">
      <c r="A12" t="s">
        <v>40</v>
      </c>
      <c r="B12" t="s">
        <v>41</v>
      </c>
      <c r="C12" t="s">
        <v>42</v>
      </c>
      <c r="D12" t="s">
        <v>43</v>
      </c>
      <c r="E12" t="s">
        <v>44</v>
      </c>
      <c r="F12" t="s">
        <v>45</v>
      </c>
      <c r="G12" t="s">
        <v>21</v>
      </c>
      <c r="H12" t="s">
        <v>46</v>
      </c>
      <c r="I12" t="s">
        <v>29</v>
      </c>
      <c r="J12" s="1">
        <v>79002331</v>
      </c>
      <c r="K12" t="s">
        <v>47</v>
      </c>
      <c r="L12" t="s">
        <v>48</v>
      </c>
      <c r="M12" s="1">
        <v>4</v>
      </c>
      <c r="N12" s="4">
        <v>42014</v>
      </c>
      <c r="O12" s="2">
        <v>365.04</v>
      </c>
      <c r="P12" s="2">
        <v>990.96</v>
      </c>
      <c r="Q12" s="2">
        <v>0</v>
      </c>
      <c r="R12" s="2">
        <f t="shared" si="19"/>
        <v>1356</v>
      </c>
      <c r="S12" t="s">
        <v>31</v>
      </c>
      <c r="T12" t="s">
        <v>0</v>
      </c>
      <c r="U12" s="5">
        <f t="shared" ca="1" si="1"/>
        <v>4076</v>
      </c>
      <c r="V12" s="37">
        <f t="shared" ca="1" si="0"/>
        <v>0</v>
      </c>
      <c r="W12" s="38">
        <f t="shared" ca="1" si="2"/>
        <v>365.04</v>
      </c>
      <c r="X12" s="38">
        <f t="shared" ca="1" si="3"/>
        <v>328.536</v>
      </c>
      <c r="Y12" s="39">
        <f t="shared" ca="1" si="4"/>
        <v>164.268</v>
      </c>
      <c r="Z12" s="39">
        <f t="shared" ca="1" si="5"/>
        <v>200.77200000000002</v>
      </c>
      <c r="AA12" s="40" t="str">
        <f t="shared" ca="1" si="6"/>
        <v>R$ 50,19 x 4 Parcelas</v>
      </c>
      <c r="AC12" s="17">
        <f t="shared" si="7"/>
        <v>990.96</v>
      </c>
      <c r="AD12" s="17">
        <f t="shared" si="8"/>
        <v>1356</v>
      </c>
      <c r="AE12" s="17">
        <f t="shared" ca="1" si="9"/>
        <v>1152.5999999999999</v>
      </c>
      <c r="AF12" s="17">
        <f t="shared" ca="1" si="10"/>
        <v>949.19999999999993</v>
      </c>
      <c r="AG12" s="17">
        <f t="shared" ca="1" si="11"/>
        <v>406.80000000000007</v>
      </c>
      <c r="AH12" s="15" t="str">
        <f t="shared" ca="1" si="12"/>
        <v>R$ 101,70 x 4 Parcelas</v>
      </c>
      <c r="AJ12" s="41">
        <f t="shared" si="13"/>
        <v>990.96</v>
      </c>
      <c r="AK12" s="42">
        <f t="shared" si="14"/>
        <v>1356</v>
      </c>
      <c r="AL12" s="43">
        <f t="shared" ca="1" si="15"/>
        <v>1220.4000000000001</v>
      </c>
      <c r="AM12" s="43">
        <f t="shared" ca="1" si="16"/>
        <v>813.6</v>
      </c>
      <c r="AN12" s="43">
        <f t="shared" ca="1" si="17"/>
        <v>229.44000000000005</v>
      </c>
      <c r="AO12" s="44" t="str">
        <f t="shared" ca="1" si="18"/>
        <v>R$ 57,36 x 4 Parcelas</v>
      </c>
      <c r="AW12" s="11">
        <v>1462</v>
      </c>
      <c r="AX12" s="12">
        <v>1</v>
      </c>
      <c r="AY12" s="12">
        <v>0.1</v>
      </c>
      <c r="AZ12" s="14">
        <v>0.4</v>
      </c>
      <c r="BA12" s="11">
        <v>4</v>
      </c>
    </row>
    <row r="13" spans="1:59" x14ac:dyDescent="0.3">
      <c r="A13" t="s">
        <v>40</v>
      </c>
      <c r="B13" t="s">
        <v>41</v>
      </c>
      <c r="C13" t="s">
        <v>42</v>
      </c>
      <c r="D13" t="s">
        <v>43</v>
      </c>
      <c r="E13" t="s">
        <v>44</v>
      </c>
      <c r="F13" t="s">
        <v>45</v>
      </c>
      <c r="G13" t="s">
        <v>21</v>
      </c>
      <c r="H13" t="s">
        <v>46</v>
      </c>
      <c r="I13" t="s">
        <v>29</v>
      </c>
      <c r="J13" s="1">
        <v>79002331</v>
      </c>
      <c r="K13" t="s">
        <v>47</v>
      </c>
      <c r="L13" t="s">
        <v>48</v>
      </c>
      <c r="M13" s="1">
        <v>5</v>
      </c>
      <c r="N13" s="4">
        <v>42045</v>
      </c>
      <c r="O13" s="2">
        <v>365.04</v>
      </c>
      <c r="P13" s="2">
        <v>983.9</v>
      </c>
      <c r="Q13" s="2">
        <v>0</v>
      </c>
      <c r="R13" s="2">
        <f t="shared" si="19"/>
        <v>1348.94</v>
      </c>
      <c r="S13" t="s">
        <v>31</v>
      </c>
      <c r="T13" t="s">
        <v>0</v>
      </c>
      <c r="U13" s="5">
        <f t="shared" ca="1" si="1"/>
        <v>4045</v>
      </c>
      <c r="V13" s="37">
        <f t="shared" ca="1" si="0"/>
        <v>0</v>
      </c>
      <c r="W13" s="38">
        <f t="shared" ca="1" si="2"/>
        <v>365.04</v>
      </c>
      <c r="X13" s="38">
        <f t="shared" ca="1" si="3"/>
        <v>328.536</v>
      </c>
      <c r="Y13" s="39">
        <f t="shared" ca="1" si="4"/>
        <v>164.268</v>
      </c>
      <c r="Z13" s="39">
        <f t="shared" ca="1" si="5"/>
        <v>200.77200000000002</v>
      </c>
      <c r="AA13" s="40" t="str">
        <f t="shared" ca="1" si="6"/>
        <v>R$ 50,19 x 4 Parcelas</v>
      </c>
      <c r="AC13" s="17">
        <f t="shared" si="7"/>
        <v>983.9</v>
      </c>
      <c r="AD13" s="17">
        <f t="shared" si="8"/>
        <v>1348.94</v>
      </c>
      <c r="AE13" s="17">
        <f t="shared" ca="1" si="9"/>
        <v>1146.5989999999999</v>
      </c>
      <c r="AF13" s="17">
        <f t="shared" ca="1" si="10"/>
        <v>944.25799999999992</v>
      </c>
      <c r="AG13" s="17">
        <f t="shared" ca="1" si="11"/>
        <v>404.68200000000013</v>
      </c>
      <c r="AH13" s="15" t="str">
        <f t="shared" ca="1" si="12"/>
        <v>R$ 101,17 x 4 Parcelas</v>
      </c>
      <c r="AJ13" s="41">
        <f t="shared" si="13"/>
        <v>983.9</v>
      </c>
      <c r="AK13" s="42">
        <f t="shared" si="14"/>
        <v>1348.94</v>
      </c>
      <c r="AL13" s="43">
        <f t="shared" ca="1" si="15"/>
        <v>1214.046</v>
      </c>
      <c r="AM13" s="43">
        <f t="shared" ca="1" si="16"/>
        <v>809.36400000000003</v>
      </c>
      <c r="AN13" s="43">
        <f t="shared" ca="1" si="17"/>
        <v>230.14600000000007</v>
      </c>
      <c r="AO13" s="44" t="str">
        <f t="shared" ca="1" si="18"/>
        <v>R$ 57,54 x 4 Parcelas</v>
      </c>
    </row>
    <row r="14" spans="1:59" x14ac:dyDescent="0.3">
      <c r="A14" t="s">
        <v>40</v>
      </c>
      <c r="B14" t="s">
        <v>41</v>
      </c>
      <c r="C14" t="s">
        <v>42</v>
      </c>
      <c r="D14" t="s">
        <v>43</v>
      </c>
      <c r="E14" t="s">
        <v>44</v>
      </c>
      <c r="F14" t="s">
        <v>45</v>
      </c>
      <c r="G14" t="s">
        <v>21</v>
      </c>
      <c r="H14" t="s">
        <v>46</v>
      </c>
      <c r="I14" t="s">
        <v>29</v>
      </c>
      <c r="J14" s="1">
        <v>79002331</v>
      </c>
      <c r="K14" t="s">
        <v>47</v>
      </c>
      <c r="L14" t="s">
        <v>48</v>
      </c>
      <c r="M14" s="1">
        <v>5</v>
      </c>
      <c r="N14" s="4">
        <v>42045</v>
      </c>
      <c r="O14" s="2">
        <v>55</v>
      </c>
      <c r="P14" s="2">
        <v>148.24</v>
      </c>
      <c r="Q14" s="2">
        <v>0</v>
      </c>
      <c r="R14" s="2">
        <f t="shared" si="19"/>
        <v>203.24</v>
      </c>
      <c r="S14" t="s">
        <v>31</v>
      </c>
      <c r="T14" t="s">
        <v>32</v>
      </c>
      <c r="U14" s="5">
        <f t="shared" ca="1" si="1"/>
        <v>4045</v>
      </c>
      <c r="V14" s="37">
        <f t="shared" ca="1" si="0"/>
        <v>0</v>
      </c>
      <c r="W14" s="38">
        <f t="shared" ca="1" si="2"/>
        <v>55</v>
      </c>
      <c r="X14" s="38">
        <f t="shared" ca="1" si="3"/>
        <v>49.5</v>
      </c>
      <c r="Y14" s="39">
        <f t="shared" ca="1" si="4"/>
        <v>24.75</v>
      </c>
      <c r="Z14" s="39">
        <f t="shared" ca="1" si="5"/>
        <v>30.25</v>
      </c>
      <c r="AA14" s="40" t="str">
        <f t="shared" ca="1" si="6"/>
        <v>R$ 7,56 x 4 Parcelas</v>
      </c>
      <c r="AC14" s="17">
        <f t="shared" si="7"/>
        <v>148.24</v>
      </c>
      <c r="AD14" s="17">
        <f t="shared" si="8"/>
        <v>203.24</v>
      </c>
      <c r="AE14" s="17">
        <f t="shared" ca="1" si="9"/>
        <v>172.75399999999999</v>
      </c>
      <c r="AF14" s="17">
        <f t="shared" ca="1" si="10"/>
        <v>142.268</v>
      </c>
      <c r="AG14" s="17">
        <f t="shared" ca="1" si="11"/>
        <v>60.972000000000008</v>
      </c>
      <c r="AH14" s="15" t="str">
        <f t="shared" ca="1" si="12"/>
        <v>R$ 15,24 x 4 Parcelas</v>
      </c>
      <c r="AJ14" s="41">
        <f t="shared" si="13"/>
        <v>148.24</v>
      </c>
      <c r="AK14" s="42">
        <f t="shared" si="14"/>
        <v>203.24</v>
      </c>
      <c r="AL14" s="43">
        <f t="shared" ca="1" si="15"/>
        <v>182.91600000000003</v>
      </c>
      <c r="AM14" s="43">
        <f t="shared" ca="1" si="16"/>
        <v>121.944</v>
      </c>
      <c r="AN14" s="43">
        <f t="shared" ca="1" si="17"/>
        <v>34.676000000000016</v>
      </c>
      <c r="AO14" s="44" t="str">
        <f t="shared" ca="1" si="18"/>
        <v>R$ 8,67 x 4 Parcelas</v>
      </c>
    </row>
    <row r="15" spans="1:59" x14ac:dyDescent="0.3">
      <c r="A15" t="s">
        <v>76</v>
      </c>
      <c r="B15" t="s">
        <v>77</v>
      </c>
      <c r="C15" t="s">
        <v>78</v>
      </c>
      <c r="D15" t="s">
        <v>79</v>
      </c>
      <c r="E15" t="s">
        <v>80</v>
      </c>
      <c r="F15" t="s">
        <v>81</v>
      </c>
      <c r="G15" t="s">
        <v>21</v>
      </c>
      <c r="H15" t="s">
        <v>82</v>
      </c>
      <c r="I15" t="s">
        <v>29</v>
      </c>
      <c r="J15" s="1">
        <v>79004100</v>
      </c>
      <c r="K15" t="s">
        <v>21</v>
      </c>
      <c r="L15" t="s">
        <v>48</v>
      </c>
      <c r="M15" s="1">
        <v>1</v>
      </c>
      <c r="N15" s="4">
        <v>42056</v>
      </c>
      <c r="O15" s="2">
        <v>432.58</v>
      </c>
      <c r="P15" s="2">
        <v>1162.2</v>
      </c>
      <c r="Q15" s="2">
        <v>0</v>
      </c>
      <c r="R15" s="2">
        <f t="shared" si="19"/>
        <v>1594.78</v>
      </c>
      <c r="S15" t="s">
        <v>31</v>
      </c>
      <c r="T15" t="s">
        <v>0</v>
      </c>
      <c r="U15" s="5">
        <f t="shared" ca="1" si="1"/>
        <v>4034</v>
      </c>
      <c r="V15" s="37">
        <f t="shared" ca="1" si="0"/>
        <v>0</v>
      </c>
      <c r="W15" s="38">
        <f t="shared" ca="1" si="2"/>
        <v>432.58</v>
      </c>
      <c r="X15" s="38">
        <f t="shared" ca="1" si="3"/>
        <v>389.322</v>
      </c>
      <c r="Y15" s="39">
        <f t="shared" ca="1" si="4"/>
        <v>194.661</v>
      </c>
      <c r="Z15" s="39">
        <f t="shared" ca="1" si="5"/>
        <v>237.91899999999998</v>
      </c>
      <c r="AA15" s="40" t="str">
        <f t="shared" ca="1" si="6"/>
        <v>R$ 59,48 x 4 Parcelas</v>
      </c>
      <c r="AC15" s="17">
        <f t="shared" si="7"/>
        <v>1162.2</v>
      </c>
      <c r="AD15" s="17">
        <f t="shared" si="8"/>
        <v>1594.78</v>
      </c>
      <c r="AE15" s="17">
        <f t="shared" ca="1" si="9"/>
        <v>1355.5629999999999</v>
      </c>
      <c r="AF15" s="17">
        <f t="shared" ca="1" si="10"/>
        <v>1116.346</v>
      </c>
      <c r="AG15" s="17">
        <f t="shared" ca="1" si="11"/>
        <v>478.43399999999997</v>
      </c>
      <c r="AH15" s="15" t="str">
        <f t="shared" ca="1" si="12"/>
        <v>R$ 119,61 x 4 Parcelas</v>
      </c>
      <c r="AJ15" s="41">
        <f t="shared" si="13"/>
        <v>1162.2</v>
      </c>
      <c r="AK15" s="42">
        <f t="shared" si="14"/>
        <v>1594.78</v>
      </c>
      <c r="AL15" s="43">
        <f t="shared" ca="1" si="15"/>
        <v>1435.3019999999999</v>
      </c>
      <c r="AM15" s="43">
        <f t="shared" ca="1" si="16"/>
        <v>956.86799999999994</v>
      </c>
      <c r="AN15" s="43">
        <f t="shared" ca="1" si="17"/>
        <v>273.10199999999986</v>
      </c>
      <c r="AO15" s="44" t="str">
        <f t="shared" ca="1" si="18"/>
        <v>R$ 68,28 x 4 Parcelas</v>
      </c>
    </row>
    <row r="16" spans="1:59" x14ac:dyDescent="0.3">
      <c r="A16" t="s">
        <v>83</v>
      </c>
      <c r="B16" t="s">
        <v>84</v>
      </c>
      <c r="C16" t="s">
        <v>85</v>
      </c>
      <c r="D16" t="s">
        <v>36</v>
      </c>
      <c r="E16" t="s">
        <v>86</v>
      </c>
      <c r="F16" t="s">
        <v>21</v>
      </c>
      <c r="G16" t="s">
        <v>21</v>
      </c>
      <c r="H16" t="s">
        <v>21</v>
      </c>
      <c r="I16" t="s">
        <v>21</v>
      </c>
      <c r="J16" t="s">
        <v>21</v>
      </c>
      <c r="K16" t="s">
        <v>21</v>
      </c>
      <c r="L16" t="s">
        <v>21</v>
      </c>
      <c r="M16" s="1">
        <v>1</v>
      </c>
      <c r="N16" s="4">
        <v>42096</v>
      </c>
      <c r="O16" s="2">
        <v>277.26</v>
      </c>
      <c r="P16" s="2">
        <v>737.88</v>
      </c>
      <c r="Q16" s="2">
        <v>0</v>
      </c>
      <c r="R16" s="2">
        <f t="shared" si="19"/>
        <v>1015.14</v>
      </c>
      <c r="S16" t="s">
        <v>31</v>
      </c>
      <c r="T16" t="s">
        <v>0</v>
      </c>
      <c r="U16" s="5">
        <f t="shared" ca="1" si="1"/>
        <v>3994</v>
      </c>
      <c r="V16" s="37">
        <f t="shared" ca="1" si="0"/>
        <v>0</v>
      </c>
      <c r="W16" s="38">
        <f t="shared" ca="1" si="2"/>
        <v>277.26</v>
      </c>
      <c r="X16" s="38">
        <f t="shared" ca="1" si="3"/>
        <v>249.53399999999999</v>
      </c>
      <c r="Y16" s="39">
        <f t="shared" ca="1" si="4"/>
        <v>124.767</v>
      </c>
      <c r="Z16" s="39">
        <f t="shared" ca="1" si="5"/>
        <v>152.49299999999999</v>
      </c>
      <c r="AA16" s="40" t="str">
        <f t="shared" ca="1" si="6"/>
        <v>R$ 38,12 x 4 Parcelas</v>
      </c>
      <c r="AC16" s="17">
        <f t="shared" si="7"/>
        <v>737.88</v>
      </c>
      <c r="AD16" s="17">
        <f t="shared" si="8"/>
        <v>1015.14</v>
      </c>
      <c r="AE16" s="17">
        <f t="shared" ca="1" si="9"/>
        <v>862.86899999999991</v>
      </c>
      <c r="AF16" s="17">
        <f t="shared" ca="1" si="10"/>
        <v>710.59799999999996</v>
      </c>
      <c r="AG16" s="17">
        <f t="shared" ca="1" si="11"/>
        <v>304.54200000000003</v>
      </c>
      <c r="AH16" s="15" t="str">
        <f t="shared" ca="1" si="12"/>
        <v>R$ 76,14 x 4 Parcelas</v>
      </c>
      <c r="AJ16" s="41">
        <f t="shared" si="13"/>
        <v>737.88</v>
      </c>
      <c r="AK16" s="42">
        <f t="shared" si="14"/>
        <v>1015.14</v>
      </c>
      <c r="AL16" s="43">
        <f t="shared" ca="1" si="15"/>
        <v>913.62599999999998</v>
      </c>
      <c r="AM16" s="43">
        <f t="shared" ca="1" si="16"/>
        <v>609.08399999999995</v>
      </c>
      <c r="AN16" s="43">
        <f t="shared" ca="1" si="17"/>
        <v>175.74599999999998</v>
      </c>
      <c r="AO16" s="44" t="str">
        <f t="shared" ca="1" si="18"/>
        <v>R$ 43,94 x 4 Parcelas</v>
      </c>
    </row>
    <row r="17" spans="1:42" x14ac:dyDescent="0.3">
      <c r="A17" t="s">
        <v>83</v>
      </c>
      <c r="B17" t="s">
        <v>84</v>
      </c>
      <c r="C17" t="s">
        <v>85</v>
      </c>
      <c r="D17" t="s">
        <v>36</v>
      </c>
      <c r="E17" t="s">
        <v>86</v>
      </c>
      <c r="F17" t="s">
        <v>21</v>
      </c>
      <c r="G17" t="s">
        <v>21</v>
      </c>
      <c r="H17" t="s">
        <v>21</v>
      </c>
      <c r="I17" t="s">
        <v>21</v>
      </c>
      <c r="J17" t="s">
        <v>21</v>
      </c>
      <c r="K17" t="s">
        <v>21</v>
      </c>
      <c r="L17" t="s">
        <v>21</v>
      </c>
      <c r="M17" s="1">
        <v>1</v>
      </c>
      <c r="N17" s="4">
        <v>42096</v>
      </c>
      <c r="O17" s="2">
        <v>62.72</v>
      </c>
      <c r="P17" s="2">
        <v>166.92</v>
      </c>
      <c r="Q17" s="2">
        <v>0</v>
      </c>
      <c r="R17" s="2">
        <f t="shared" si="19"/>
        <v>229.64</v>
      </c>
      <c r="S17" t="s">
        <v>31</v>
      </c>
      <c r="T17" t="s">
        <v>32</v>
      </c>
      <c r="U17" s="5">
        <f t="shared" ca="1" si="1"/>
        <v>3994</v>
      </c>
      <c r="V17" s="37">
        <f t="shared" ca="1" si="0"/>
        <v>0</v>
      </c>
      <c r="W17" s="38">
        <f t="shared" ca="1" si="2"/>
        <v>62.72</v>
      </c>
      <c r="X17" s="38">
        <f t="shared" ca="1" si="3"/>
        <v>56.448</v>
      </c>
      <c r="Y17" s="39">
        <f ca="1">W17 * VLOOKUP(U17, $BC$3:$BF$11, 4, TRUE)</f>
        <v>28.224</v>
      </c>
      <c r="Z17" s="39">
        <f t="shared" ca="1" si="5"/>
        <v>34.495999999999995</v>
      </c>
      <c r="AA17" s="40" t="str">
        <f t="shared" ca="1" si="6"/>
        <v>R$ 8,62 x 4 Parcelas</v>
      </c>
      <c r="AC17" s="17">
        <f t="shared" si="7"/>
        <v>166.92</v>
      </c>
      <c r="AD17" s="17">
        <f t="shared" si="8"/>
        <v>229.64</v>
      </c>
      <c r="AE17" s="17">
        <f t="shared" ca="1" si="9"/>
        <v>195.19399999999999</v>
      </c>
      <c r="AF17" s="17">
        <f t="shared" ca="1" si="10"/>
        <v>160.74799999999999</v>
      </c>
      <c r="AG17" s="17">
        <f t="shared" ca="1" si="11"/>
        <v>68.891999999999996</v>
      </c>
      <c r="AH17" s="15" t="str">
        <f t="shared" ca="1" si="12"/>
        <v>R$ 17,22 x 4 Parcelas</v>
      </c>
      <c r="AJ17" s="41">
        <f t="shared" si="13"/>
        <v>166.92</v>
      </c>
      <c r="AK17" s="42">
        <f t="shared" si="14"/>
        <v>229.64</v>
      </c>
      <c r="AL17" s="43">
        <f t="shared" ca="1" si="15"/>
        <v>206.67599999999999</v>
      </c>
      <c r="AM17" s="43">
        <f t="shared" ca="1" si="16"/>
        <v>137.78399999999999</v>
      </c>
      <c r="AN17" s="43">
        <f t="shared" ca="1" si="17"/>
        <v>39.756</v>
      </c>
      <c r="AO17" s="44" t="str">
        <f t="shared" ca="1" si="18"/>
        <v>R$ 9,94 x 4 Parcelas</v>
      </c>
      <c r="AP17" s="6"/>
    </row>
    <row r="18" spans="1:42" x14ac:dyDescent="0.3">
      <c r="A18" t="s">
        <v>83</v>
      </c>
      <c r="B18" t="s">
        <v>84</v>
      </c>
      <c r="C18" t="s">
        <v>85</v>
      </c>
      <c r="D18" t="s">
        <v>36</v>
      </c>
      <c r="E18" t="s">
        <v>86</v>
      </c>
      <c r="F18" t="s">
        <v>21</v>
      </c>
      <c r="G18" t="s">
        <v>21</v>
      </c>
      <c r="H18" t="s">
        <v>21</v>
      </c>
      <c r="I18" t="s">
        <v>21</v>
      </c>
      <c r="J18" t="s">
        <v>21</v>
      </c>
      <c r="K18" t="s">
        <v>21</v>
      </c>
      <c r="L18" t="s">
        <v>21</v>
      </c>
      <c r="M18" s="1">
        <v>2</v>
      </c>
      <c r="N18" s="4">
        <v>42126</v>
      </c>
      <c r="O18" s="2">
        <v>62.71</v>
      </c>
      <c r="P18" s="2">
        <v>165.55</v>
      </c>
      <c r="Q18" s="2">
        <v>0</v>
      </c>
      <c r="R18" s="2">
        <f t="shared" si="19"/>
        <v>228.26000000000002</v>
      </c>
      <c r="S18" t="s">
        <v>31</v>
      </c>
      <c r="T18" t="s">
        <v>32</v>
      </c>
      <c r="U18" s="5">
        <f t="shared" ca="1" si="1"/>
        <v>3964</v>
      </c>
      <c r="V18" s="37">
        <f t="shared" ca="1" si="0"/>
        <v>0</v>
      </c>
      <c r="W18" s="38">
        <f t="shared" ca="1" si="2"/>
        <v>62.71</v>
      </c>
      <c r="X18" s="38">
        <f t="shared" ca="1" si="3"/>
        <v>56.439</v>
      </c>
      <c r="Y18" s="39">
        <f t="shared" ref="Y18:Y81" ca="1" si="20">W18 * VLOOKUP(U18, $BC$3:$BF$11, 4, TRUE)</f>
        <v>28.2195</v>
      </c>
      <c r="Z18" s="39">
        <f t="shared" ca="1" si="5"/>
        <v>34.490499999999997</v>
      </c>
      <c r="AA18" s="40" t="str">
        <f t="shared" ca="1" si="6"/>
        <v>R$ 8,62 x 4 Parcelas</v>
      </c>
      <c r="AC18" s="17">
        <f t="shared" si="7"/>
        <v>165.55</v>
      </c>
      <c r="AD18" s="17">
        <f t="shared" si="8"/>
        <v>228.26000000000002</v>
      </c>
      <c r="AE18" s="17">
        <f t="shared" ca="1" si="9"/>
        <v>194.02100000000002</v>
      </c>
      <c r="AF18" s="17">
        <f t="shared" ca="1" si="10"/>
        <v>159.78200000000001</v>
      </c>
      <c r="AG18" s="17">
        <f t="shared" ca="1" si="11"/>
        <v>68.478000000000009</v>
      </c>
      <c r="AH18" s="15" t="str">
        <f t="shared" ca="1" si="12"/>
        <v>R$ 17,12 x 4 Parcelas</v>
      </c>
      <c r="AJ18" s="41">
        <f t="shared" si="13"/>
        <v>165.55</v>
      </c>
      <c r="AK18" s="42">
        <f t="shared" si="14"/>
        <v>228.26000000000002</v>
      </c>
      <c r="AL18" s="43">
        <f t="shared" ca="1" si="15"/>
        <v>205.43400000000003</v>
      </c>
      <c r="AM18" s="43">
        <f t="shared" ca="1" si="16"/>
        <v>136.95600000000002</v>
      </c>
      <c r="AN18" s="43">
        <f t="shared" ca="1" si="17"/>
        <v>39.884000000000015</v>
      </c>
      <c r="AO18" s="44" t="str">
        <f t="shared" ca="1" si="18"/>
        <v>R$ 9,97 x 4 Parcelas</v>
      </c>
    </row>
    <row r="19" spans="1:42" x14ac:dyDescent="0.3">
      <c r="A19" t="s">
        <v>83</v>
      </c>
      <c r="B19" t="s">
        <v>84</v>
      </c>
      <c r="C19" t="s">
        <v>85</v>
      </c>
      <c r="D19" t="s">
        <v>36</v>
      </c>
      <c r="E19" t="s">
        <v>86</v>
      </c>
      <c r="F19" t="s">
        <v>21</v>
      </c>
      <c r="G19" t="s">
        <v>21</v>
      </c>
      <c r="H19" t="s">
        <v>21</v>
      </c>
      <c r="I19" t="s">
        <v>21</v>
      </c>
      <c r="J19" t="s">
        <v>21</v>
      </c>
      <c r="K19" t="s">
        <v>21</v>
      </c>
      <c r="L19" t="s">
        <v>21</v>
      </c>
      <c r="M19" s="1">
        <v>2</v>
      </c>
      <c r="N19" s="4">
        <v>42126</v>
      </c>
      <c r="O19" s="2">
        <v>277.26</v>
      </c>
      <c r="P19" s="2">
        <v>731.97</v>
      </c>
      <c r="Q19" s="2">
        <v>0</v>
      </c>
      <c r="R19" s="2">
        <f t="shared" si="19"/>
        <v>1009.23</v>
      </c>
      <c r="S19" t="s">
        <v>31</v>
      </c>
      <c r="T19" t="s">
        <v>0</v>
      </c>
      <c r="U19" s="5">
        <f t="shared" ca="1" si="1"/>
        <v>3964</v>
      </c>
      <c r="V19" s="37">
        <f t="shared" ca="1" si="0"/>
        <v>0</v>
      </c>
      <c r="W19" s="38">
        <f t="shared" ca="1" si="2"/>
        <v>277.26</v>
      </c>
      <c r="X19" s="38">
        <f t="shared" ca="1" si="3"/>
        <v>249.53399999999999</v>
      </c>
      <c r="Y19" s="39">
        <f t="shared" ca="1" si="20"/>
        <v>124.767</v>
      </c>
      <c r="Z19" s="39">
        <f t="shared" ca="1" si="5"/>
        <v>152.49299999999999</v>
      </c>
      <c r="AA19" s="40" t="str">
        <f t="shared" ca="1" si="6"/>
        <v>R$ 38,12 x 4 Parcelas</v>
      </c>
      <c r="AC19" s="17">
        <f t="shared" si="7"/>
        <v>731.97</v>
      </c>
      <c r="AD19" s="17">
        <f t="shared" si="8"/>
        <v>1009.23</v>
      </c>
      <c r="AE19" s="17">
        <f t="shared" ca="1" si="9"/>
        <v>857.84550000000002</v>
      </c>
      <c r="AF19" s="17">
        <f t="shared" ca="1" si="10"/>
        <v>706.46100000000001</v>
      </c>
      <c r="AG19" s="17">
        <f t="shared" ca="1" si="11"/>
        <v>302.76900000000001</v>
      </c>
      <c r="AH19" s="15" t="str">
        <f t="shared" ca="1" si="12"/>
        <v>R$ 75,69 x 4 Parcelas</v>
      </c>
      <c r="AJ19" s="41">
        <f t="shared" si="13"/>
        <v>731.97</v>
      </c>
      <c r="AK19" s="42">
        <f t="shared" si="14"/>
        <v>1009.23</v>
      </c>
      <c r="AL19" s="43">
        <f t="shared" ca="1" si="15"/>
        <v>908.30700000000002</v>
      </c>
      <c r="AM19" s="43">
        <f t="shared" ca="1" si="16"/>
        <v>605.53800000000001</v>
      </c>
      <c r="AN19" s="43">
        <f t="shared" ca="1" si="17"/>
        <v>176.33699999999999</v>
      </c>
      <c r="AO19" s="44" t="str">
        <f t="shared" ca="1" si="18"/>
        <v>R$ 44,08 x 4 Parcelas</v>
      </c>
    </row>
    <row r="20" spans="1:42" x14ac:dyDescent="0.3">
      <c r="A20" t="s">
        <v>87</v>
      </c>
      <c r="B20" t="s">
        <v>88</v>
      </c>
      <c r="C20" t="s">
        <v>89</v>
      </c>
      <c r="D20" t="s">
        <v>90</v>
      </c>
      <c r="E20" t="s">
        <v>91</v>
      </c>
      <c r="F20" t="s">
        <v>92</v>
      </c>
      <c r="G20" t="s">
        <v>21</v>
      </c>
      <c r="H20" t="s">
        <v>93</v>
      </c>
      <c r="I20" t="s">
        <v>29</v>
      </c>
      <c r="J20" s="1">
        <v>79005040</v>
      </c>
      <c r="K20" t="s">
        <v>21</v>
      </c>
      <c r="L20" t="s">
        <v>30</v>
      </c>
      <c r="M20" s="1">
        <v>1</v>
      </c>
      <c r="N20" s="4">
        <v>42160</v>
      </c>
      <c r="O20" s="2">
        <v>283.12</v>
      </c>
      <c r="P20" s="2">
        <v>741.4</v>
      </c>
      <c r="Q20" s="2">
        <v>0</v>
      </c>
      <c r="R20" s="2">
        <f t="shared" si="19"/>
        <v>1024.52</v>
      </c>
      <c r="S20" t="s">
        <v>31</v>
      </c>
      <c r="T20" t="s">
        <v>0</v>
      </c>
      <c r="U20" s="5">
        <f t="shared" ca="1" si="1"/>
        <v>3930</v>
      </c>
      <c r="V20" s="37">
        <f t="shared" ca="1" si="0"/>
        <v>0</v>
      </c>
      <c r="W20" s="38">
        <f t="shared" ca="1" si="2"/>
        <v>283.12</v>
      </c>
      <c r="X20" s="38">
        <f t="shared" ca="1" si="3"/>
        <v>254.80800000000002</v>
      </c>
      <c r="Y20" s="39">
        <f t="shared" ca="1" si="20"/>
        <v>127.40400000000001</v>
      </c>
      <c r="Z20" s="39">
        <f t="shared" ca="1" si="5"/>
        <v>155.71600000000001</v>
      </c>
      <c r="AA20" s="40" t="str">
        <f t="shared" ca="1" si="6"/>
        <v>R$ 38,93 x 4 Parcelas</v>
      </c>
      <c r="AC20" s="17">
        <f t="shared" si="7"/>
        <v>741.4</v>
      </c>
      <c r="AD20" s="17">
        <f t="shared" si="8"/>
        <v>1024.52</v>
      </c>
      <c r="AE20" s="17">
        <f t="shared" ca="1" si="9"/>
        <v>870.84199999999998</v>
      </c>
      <c r="AF20" s="17">
        <f t="shared" ca="1" si="10"/>
        <v>717.16399999999999</v>
      </c>
      <c r="AG20" s="17">
        <f t="shared" ca="1" si="11"/>
        <v>307.35599999999999</v>
      </c>
      <c r="AH20" s="15" t="str">
        <f t="shared" ca="1" si="12"/>
        <v>R$ 76,84 x 4 Parcelas</v>
      </c>
      <c r="AJ20" s="41">
        <f t="shared" si="13"/>
        <v>741.4</v>
      </c>
      <c r="AK20" s="42">
        <f t="shared" si="14"/>
        <v>1024.52</v>
      </c>
      <c r="AL20" s="43">
        <f t="shared" ca="1" si="15"/>
        <v>922.06799999999998</v>
      </c>
      <c r="AM20" s="43">
        <f t="shared" ca="1" si="16"/>
        <v>614.71199999999999</v>
      </c>
      <c r="AN20" s="43">
        <f t="shared" ca="1" si="17"/>
        <v>180.66800000000001</v>
      </c>
      <c r="AO20" s="44" t="str">
        <f t="shared" ca="1" si="18"/>
        <v>R$ 45,17 x 4 Parcelas</v>
      </c>
    </row>
    <row r="21" spans="1:42" x14ac:dyDescent="0.3">
      <c r="A21" t="s">
        <v>87</v>
      </c>
      <c r="B21" t="s">
        <v>88</v>
      </c>
      <c r="C21" t="s">
        <v>89</v>
      </c>
      <c r="D21" t="s">
        <v>90</v>
      </c>
      <c r="E21" t="s">
        <v>91</v>
      </c>
      <c r="F21" t="s">
        <v>92</v>
      </c>
      <c r="G21" t="s">
        <v>21</v>
      </c>
      <c r="H21" t="s">
        <v>93</v>
      </c>
      <c r="I21" t="s">
        <v>29</v>
      </c>
      <c r="J21" s="1">
        <v>79005040</v>
      </c>
      <c r="K21" t="s">
        <v>21</v>
      </c>
      <c r="L21" t="s">
        <v>30</v>
      </c>
      <c r="M21" s="1">
        <v>1</v>
      </c>
      <c r="N21" s="4">
        <v>42160</v>
      </c>
      <c r="O21" s="2">
        <v>54.17</v>
      </c>
      <c r="P21" s="2">
        <v>141.85</v>
      </c>
      <c r="Q21" s="2">
        <v>0</v>
      </c>
      <c r="R21" s="2">
        <f t="shared" si="19"/>
        <v>196.01999999999998</v>
      </c>
      <c r="S21" t="s">
        <v>31</v>
      </c>
      <c r="T21" t="s">
        <v>32</v>
      </c>
      <c r="U21" s="5">
        <f t="shared" ca="1" si="1"/>
        <v>3930</v>
      </c>
      <c r="V21" s="37">
        <f t="shared" ca="1" si="0"/>
        <v>0</v>
      </c>
      <c r="W21" s="38">
        <f t="shared" ca="1" si="2"/>
        <v>54.17</v>
      </c>
      <c r="X21" s="38">
        <f t="shared" ca="1" si="3"/>
        <v>48.753</v>
      </c>
      <c r="Y21" s="39">
        <f t="shared" ca="1" si="20"/>
        <v>24.3765</v>
      </c>
      <c r="Z21" s="39">
        <f t="shared" ca="1" si="5"/>
        <v>29.793500000000002</v>
      </c>
      <c r="AA21" s="40" t="str">
        <f t="shared" ca="1" si="6"/>
        <v>R$ 7,45 x 4 Parcelas</v>
      </c>
      <c r="AC21" s="17">
        <f t="shared" si="7"/>
        <v>141.85</v>
      </c>
      <c r="AD21" s="17">
        <f t="shared" si="8"/>
        <v>196.01999999999998</v>
      </c>
      <c r="AE21" s="17">
        <f t="shared" ca="1" si="9"/>
        <v>166.61699999999999</v>
      </c>
      <c r="AF21" s="17">
        <f t="shared" ca="1" si="10"/>
        <v>137.21399999999997</v>
      </c>
      <c r="AG21" s="17">
        <f t="shared" ca="1" si="11"/>
        <v>58.806000000000012</v>
      </c>
      <c r="AH21" s="15" t="str">
        <f t="shared" ca="1" si="12"/>
        <v>R$ 14,70 x 4 Parcelas</v>
      </c>
      <c r="AJ21" s="41">
        <f t="shared" si="13"/>
        <v>141.85</v>
      </c>
      <c r="AK21" s="42">
        <f t="shared" si="14"/>
        <v>196.01999999999998</v>
      </c>
      <c r="AL21" s="43">
        <f t="shared" ca="1" si="15"/>
        <v>176.41799999999998</v>
      </c>
      <c r="AM21" s="43">
        <f t="shared" ca="1" si="16"/>
        <v>117.61199999999998</v>
      </c>
      <c r="AN21" s="43">
        <f t="shared" ca="1" si="17"/>
        <v>34.567999999999984</v>
      </c>
      <c r="AO21" s="44" t="str">
        <f t="shared" ca="1" si="18"/>
        <v>R$ 8,64 x 4 Parcelas</v>
      </c>
    </row>
    <row r="22" spans="1:42" x14ac:dyDescent="0.3">
      <c r="A22" t="s">
        <v>87</v>
      </c>
      <c r="B22" t="s">
        <v>88</v>
      </c>
      <c r="C22" t="s">
        <v>89</v>
      </c>
      <c r="D22" t="s">
        <v>90</v>
      </c>
      <c r="E22" t="s">
        <v>91</v>
      </c>
      <c r="F22" t="s">
        <v>92</v>
      </c>
      <c r="G22" t="s">
        <v>21</v>
      </c>
      <c r="H22" t="s">
        <v>93</v>
      </c>
      <c r="I22" t="s">
        <v>29</v>
      </c>
      <c r="J22" s="1">
        <v>79005040</v>
      </c>
      <c r="K22" t="s">
        <v>21</v>
      </c>
      <c r="L22" t="s">
        <v>30</v>
      </c>
      <c r="M22" s="1">
        <v>2</v>
      </c>
      <c r="N22" s="4">
        <v>42190</v>
      </c>
      <c r="O22" s="2">
        <v>54.17</v>
      </c>
      <c r="P22" s="2">
        <v>140.72999999999999</v>
      </c>
      <c r="Q22" s="2">
        <v>0</v>
      </c>
      <c r="R22" s="2">
        <f t="shared" si="19"/>
        <v>194.89999999999998</v>
      </c>
      <c r="S22" t="s">
        <v>31</v>
      </c>
      <c r="T22" t="s">
        <v>32</v>
      </c>
      <c r="U22" s="5">
        <f t="shared" ca="1" si="1"/>
        <v>3900</v>
      </c>
      <c r="V22" s="37">
        <f t="shared" ca="1" si="0"/>
        <v>0</v>
      </c>
      <c r="W22" s="38">
        <f t="shared" ca="1" si="2"/>
        <v>54.17</v>
      </c>
      <c r="X22" s="38">
        <f t="shared" ca="1" si="3"/>
        <v>48.753</v>
      </c>
      <c r="Y22" s="39">
        <f t="shared" ca="1" si="20"/>
        <v>24.3765</v>
      </c>
      <c r="Z22" s="39">
        <f t="shared" ca="1" si="5"/>
        <v>29.793500000000002</v>
      </c>
      <c r="AA22" s="40" t="str">
        <f t="shared" ca="1" si="6"/>
        <v>R$ 7,45 x 4 Parcelas</v>
      </c>
      <c r="AC22" s="17">
        <f t="shared" si="7"/>
        <v>140.72999999999999</v>
      </c>
      <c r="AD22" s="17">
        <f t="shared" si="8"/>
        <v>194.89999999999998</v>
      </c>
      <c r="AE22" s="17">
        <f t="shared" ca="1" si="9"/>
        <v>165.66499999999996</v>
      </c>
      <c r="AF22" s="17">
        <f t="shared" ca="1" si="10"/>
        <v>136.42999999999998</v>
      </c>
      <c r="AG22" s="17">
        <f t="shared" ca="1" si="11"/>
        <v>58.47</v>
      </c>
      <c r="AH22" s="15" t="str">
        <f t="shared" ca="1" si="12"/>
        <v>R$ 14,62 x 4 Parcelas</v>
      </c>
      <c r="AJ22" s="41">
        <f t="shared" si="13"/>
        <v>140.72999999999999</v>
      </c>
      <c r="AK22" s="42">
        <f t="shared" si="14"/>
        <v>194.89999999999998</v>
      </c>
      <c r="AL22" s="43">
        <f t="shared" ca="1" si="15"/>
        <v>175.41</v>
      </c>
      <c r="AM22" s="43">
        <f t="shared" ca="1" si="16"/>
        <v>116.93999999999998</v>
      </c>
      <c r="AN22" s="43">
        <f t="shared" ca="1" si="17"/>
        <v>34.680000000000007</v>
      </c>
      <c r="AO22" s="44" t="str">
        <f t="shared" ca="1" si="18"/>
        <v>R$ 8,67 x 4 Parcelas</v>
      </c>
    </row>
    <row r="23" spans="1:42" x14ac:dyDescent="0.3">
      <c r="A23" t="s">
        <v>87</v>
      </c>
      <c r="B23" t="s">
        <v>88</v>
      </c>
      <c r="C23" t="s">
        <v>89</v>
      </c>
      <c r="D23" t="s">
        <v>90</v>
      </c>
      <c r="E23" t="s">
        <v>91</v>
      </c>
      <c r="F23" t="s">
        <v>92</v>
      </c>
      <c r="G23" t="s">
        <v>21</v>
      </c>
      <c r="H23" t="s">
        <v>93</v>
      </c>
      <c r="I23" t="s">
        <v>29</v>
      </c>
      <c r="J23" s="1">
        <v>79005040</v>
      </c>
      <c r="K23" t="s">
        <v>21</v>
      </c>
      <c r="L23" t="s">
        <v>30</v>
      </c>
      <c r="M23" s="1">
        <v>2</v>
      </c>
      <c r="N23" s="4">
        <v>42190</v>
      </c>
      <c r="O23" s="2">
        <v>283.12</v>
      </c>
      <c r="P23" s="2">
        <v>735.55</v>
      </c>
      <c r="Q23" s="2">
        <v>0</v>
      </c>
      <c r="R23" s="2">
        <f t="shared" si="19"/>
        <v>1018.67</v>
      </c>
      <c r="S23" t="s">
        <v>31</v>
      </c>
      <c r="T23" t="s">
        <v>0</v>
      </c>
      <c r="U23" s="5">
        <f t="shared" ca="1" si="1"/>
        <v>3900</v>
      </c>
      <c r="V23" s="37">
        <f t="shared" ca="1" si="0"/>
        <v>0</v>
      </c>
      <c r="W23" s="38">
        <f t="shared" ca="1" si="2"/>
        <v>283.12</v>
      </c>
      <c r="X23" s="38">
        <f t="shared" ca="1" si="3"/>
        <v>254.80800000000002</v>
      </c>
      <c r="Y23" s="39">
        <f t="shared" ca="1" si="20"/>
        <v>127.40400000000001</v>
      </c>
      <c r="Z23" s="39">
        <f t="shared" ca="1" si="5"/>
        <v>155.71600000000001</v>
      </c>
      <c r="AA23" s="40" t="str">
        <f t="shared" ca="1" si="6"/>
        <v>R$ 38,93 x 4 Parcelas</v>
      </c>
      <c r="AC23" s="17">
        <f t="shared" si="7"/>
        <v>735.55</v>
      </c>
      <c r="AD23" s="17">
        <f t="shared" si="8"/>
        <v>1018.67</v>
      </c>
      <c r="AE23" s="17">
        <f t="shared" ca="1" si="9"/>
        <v>865.8694999999999</v>
      </c>
      <c r="AF23" s="17">
        <f t="shared" ca="1" si="10"/>
        <v>713.06899999999996</v>
      </c>
      <c r="AG23" s="17">
        <f t="shared" ca="1" si="11"/>
        <v>305.601</v>
      </c>
      <c r="AH23" s="15" t="str">
        <f t="shared" ca="1" si="12"/>
        <v>R$ 76,40 x 4 Parcelas</v>
      </c>
      <c r="AJ23" s="41">
        <f t="shared" si="13"/>
        <v>735.55</v>
      </c>
      <c r="AK23" s="42">
        <f t="shared" si="14"/>
        <v>1018.67</v>
      </c>
      <c r="AL23" s="43">
        <f t="shared" ca="1" si="15"/>
        <v>916.803</v>
      </c>
      <c r="AM23" s="43">
        <f t="shared" ca="1" si="16"/>
        <v>611.202</v>
      </c>
      <c r="AN23" s="43">
        <f t="shared" ca="1" si="17"/>
        <v>181.25300000000004</v>
      </c>
      <c r="AO23" s="44" t="str">
        <f t="shared" ca="1" si="18"/>
        <v>R$ 45,31 x 4 Parcelas</v>
      </c>
    </row>
    <row r="24" spans="1:42" x14ac:dyDescent="0.3">
      <c r="A24" t="s">
        <v>60</v>
      </c>
      <c r="B24" t="s">
        <v>61</v>
      </c>
      <c r="C24" t="s">
        <v>62</v>
      </c>
      <c r="D24" t="s">
        <v>63</v>
      </c>
      <c r="E24" t="s">
        <v>64</v>
      </c>
      <c r="F24" t="s">
        <v>65</v>
      </c>
      <c r="G24" s="1">
        <v>111</v>
      </c>
      <c r="H24" t="s">
        <v>66</v>
      </c>
      <c r="I24" t="s">
        <v>29</v>
      </c>
      <c r="J24" s="1">
        <v>79050112</v>
      </c>
      <c r="K24" t="s">
        <v>67</v>
      </c>
      <c r="L24" t="s">
        <v>30</v>
      </c>
      <c r="M24" s="1">
        <v>1</v>
      </c>
      <c r="N24" s="4">
        <v>42195</v>
      </c>
      <c r="O24" s="2">
        <v>275.98</v>
      </c>
      <c r="P24" s="2">
        <v>716.26</v>
      </c>
      <c r="Q24" s="2">
        <v>0</v>
      </c>
      <c r="R24" s="2">
        <f t="shared" si="19"/>
        <v>992.24</v>
      </c>
      <c r="S24" t="s">
        <v>31</v>
      </c>
      <c r="T24" t="s">
        <v>0</v>
      </c>
      <c r="U24" s="5">
        <f t="shared" ca="1" si="1"/>
        <v>3895</v>
      </c>
      <c r="V24" s="37">
        <f t="shared" ca="1" si="0"/>
        <v>0</v>
      </c>
      <c r="W24" s="38">
        <f t="shared" ca="1" si="2"/>
        <v>275.98</v>
      </c>
      <c r="X24" s="38">
        <f t="shared" ca="1" si="3"/>
        <v>248.38200000000003</v>
      </c>
      <c r="Y24" s="39">
        <f t="shared" ca="1" si="20"/>
        <v>124.19100000000002</v>
      </c>
      <c r="Z24" s="39">
        <f t="shared" ca="1" si="5"/>
        <v>151.78899999999999</v>
      </c>
      <c r="AA24" s="40" t="str">
        <f t="shared" ca="1" si="6"/>
        <v>R$ 37,95 x 4 Parcelas</v>
      </c>
      <c r="AC24" s="17">
        <f t="shared" si="7"/>
        <v>716.26</v>
      </c>
      <c r="AD24" s="17">
        <f t="shared" si="8"/>
        <v>992.24</v>
      </c>
      <c r="AE24" s="17">
        <f t="shared" ca="1" si="9"/>
        <v>843.404</v>
      </c>
      <c r="AF24" s="17">
        <f t="shared" ca="1" si="10"/>
        <v>694.56799999999998</v>
      </c>
      <c r="AG24" s="17">
        <f t="shared" ca="1" si="11"/>
        <v>297.67200000000003</v>
      </c>
      <c r="AH24" s="15" t="str">
        <f t="shared" ca="1" si="12"/>
        <v>R$ 74,42 x 4 Parcelas</v>
      </c>
      <c r="AJ24" s="41">
        <f t="shared" si="13"/>
        <v>716.26</v>
      </c>
      <c r="AK24" s="42">
        <f t="shared" si="14"/>
        <v>992.24</v>
      </c>
      <c r="AL24" s="43">
        <f t="shared" ca="1" si="15"/>
        <v>893.01600000000008</v>
      </c>
      <c r="AM24" s="43">
        <f t="shared" ca="1" si="16"/>
        <v>595.34399999999994</v>
      </c>
      <c r="AN24" s="43">
        <f t="shared" ca="1" si="17"/>
        <v>176.75600000000009</v>
      </c>
      <c r="AO24" s="44" t="str">
        <f t="shared" ca="1" si="18"/>
        <v>R$ 44,19 x 4 Parcelas</v>
      </c>
    </row>
    <row r="25" spans="1:42" x14ac:dyDescent="0.3">
      <c r="A25" t="s">
        <v>60</v>
      </c>
      <c r="B25" t="s">
        <v>61</v>
      </c>
      <c r="C25" t="s">
        <v>62</v>
      </c>
      <c r="D25" t="s">
        <v>63</v>
      </c>
      <c r="E25" t="s">
        <v>64</v>
      </c>
      <c r="F25" t="s">
        <v>65</v>
      </c>
      <c r="G25" s="1">
        <v>111</v>
      </c>
      <c r="H25" t="s">
        <v>66</v>
      </c>
      <c r="I25" t="s">
        <v>29</v>
      </c>
      <c r="J25" s="1">
        <v>79050112</v>
      </c>
      <c r="K25" t="s">
        <v>67</v>
      </c>
      <c r="L25" t="s">
        <v>30</v>
      </c>
      <c r="M25" s="1">
        <v>1</v>
      </c>
      <c r="N25" s="4">
        <v>42226</v>
      </c>
      <c r="O25" s="2">
        <v>108.34</v>
      </c>
      <c r="P25" s="2">
        <v>278.94</v>
      </c>
      <c r="Q25" s="2">
        <v>0</v>
      </c>
      <c r="R25" s="2">
        <f t="shared" si="19"/>
        <v>387.28</v>
      </c>
      <c r="S25" t="s">
        <v>31</v>
      </c>
      <c r="T25" t="s">
        <v>32</v>
      </c>
      <c r="U25" s="5">
        <f t="shared" ca="1" si="1"/>
        <v>3864</v>
      </c>
      <c r="V25" s="37">
        <f t="shared" ca="1" si="0"/>
        <v>0</v>
      </c>
      <c r="W25" s="38">
        <f t="shared" ca="1" si="2"/>
        <v>108.34</v>
      </c>
      <c r="X25" s="38">
        <f t="shared" ca="1" si="3"/>
        <v>97.506</v>
      </c>
      <c r="Y25" s="39">
        <f t="shared" ca="1" si="20"/>
        <v>48.753</v>
      </c>
      <c r="Z25" s="39">
        <f t="shared" ca="1" si="5"/>
        <v>59.587000000000003</v>
      </c>
      <c r="AA25" s="40" t="str">
        <f t="shared" ca="1" si="6"/>
        <v>R$ 14,90 x 4 Parcelas</v>
      </c>
      <c r="AC25" s="17">
        <f t="shared" si="7"/>
        <v>278.94</v>
      </c>
      <c r="AD25" s="17">
        <f t="shared" si="8"/>
        <v>387.28</v>
      </c>
      <c r="AE25" s="17">
        <f t="shared" ca="1" si="9"/>
        <v>329.18799999999999</v>
      </c>
      <c r="AF25" s="17">
        <f t="shared" ca="1" si="10"/>
        <v>271.09599999999995</v>
      </c>
      <c r="AG25" s="17">
        <f t="shared" ca="1" si="11"/>
        <v>116.18400000000003</v>
      </c>
      <c r="AH25" s="15" t="str">
        <f t="shared" ca="1" si="12"/>
        <v>R$ 29,05 x 4 Parcelas</v>
      </c>
      <c r="AJ25" s="41">
        <f t="shared" si="13"/>
        <v>278.94</v>
      </c>
      <c r="AK25" s="42">
        <f t="shared" si="14"/>
        <v>387.28</v>
      </c>
      <c r="AL25" s="43">
        <f t="shared" ca="1" si="15"/>
        <v>348.55199999999996</v>
      </c>
      <c r="AM25" s="43">
        <f t="shared" ca="1" si="16"/>
        <v>232.36799999999997</v>
      </c>
      <c r="AN25" s="43">
        <f t="shared" ca="1" si="17"/>
        <v>69.611999999999966</v>
      </c>
      <c r="AO25" s="44" t="str">
        <f t="shared" ca="1" si="18"/>
        <v>R$ 17,40 x 4 Parcelas</v>
      </c>
    </row>
    <row r="26" spans="1:42" x14ac:dyDescent="0.3">
      <c r="A26" t="s">
        <v>94</v>
      </c>
      <c r="B26" t="s">
        <v>95</v>
      </c>
      <c r="C26" t="s">
        <v>96</v>
      </c>
      <c r="D26" t="s">
        <v>97</v>
      </c>
      <c r="E26" t="s">
        <v>98</v>
      </c>
      <c r="F26" t="s">
        <v>99</v>
      </c>
      <c r="G26" s="1">
        <v>532</v>
      </c>
      <c r="H26" t="s">
        <v>100</v>
      </c>
      <c r="I26" t="s">
        <v>29</v>
      </c>
      <c r="J26" s="1">
        <v>79080770</v>
      </c>
      <c r="K26" t="s">
        <v>21</v>
      </c>
      <c r="L26" t="s">
        <v>48</v>
      </c>
      <c r="M26" s="1">
        <v>1</v>
      </c>
      <c r="N26" s="4">
        <v>42243</v>
      </c>
      <c r="O26" s="2">
        <v>271.14</v>
      </c>
      <c r="P26" s="2">
        <v>695.02</v>
      </c>
      <c r="Q26" s="2">
        <v>0</v>
      </c>
      <c r="R26" s="2">
        <f t="shared" si="19"/>
        <v>966.16</v>
      </c>
      <c r="S26" t="s">
        <v>31</v>
      </c>
      <c r="T26" t="s">
        <v>53</v>
      </c>
      <c r="U26" s="5">
        <f t="shared" ca="1" si="1"/>
        <v>3847</v>
      </c>
      <c r="V26" s="37">
        <f t="shared" ca="1" si="0"/>
        <v>0</v>
      </c>
      <c r="W26" s="38">
        <f t="shared" ca="1" si="2"/>
        <v>271.14</v>
      </c>
      <c r="X26" s="38">
        <f t="shared" ca="1" si="3"/>
        <v>244.02599999999998</v>
      </c>
      <c r="Y26" s="39">
        <f t="shared" ca="1" si="20"/>
        <v>122.01299999999999</v>
      </c>
      <c r="Z26" s="39">
        <f t="shared" ca="1" si="5"/>
        <v>149.12700000000001</v>
      </c>
      <c r="AA26" s="40" t="str">
        <f t="shared" ca="1" si="6"/>
        <v>R$ 37,28 x 4 Parcelas</v>
      </c>
      <c r="AC26" s="17">
        <f t="shared" si="7"/>
        <v>695.02</v>
      </c>
      <c r="AD26" s="17">
        <f t="shared" si="8"/>
        <v>966.16</v>
      </c>
      <c r="AE26" s="17">
        <f t="shared" ca="1" si="9"/>
        <v>821.23599999999999</v>
      </c>
      <c r="AF26" s="17">
        <f t="shared" ca="1" si="10"/>
        <v>676.3119999999999</v>
      </c>
      <c r="AG26" s="17">
        <f t="shared" ca="1" si="11"/>
        <v>289.84800000000007</v>
      </c>
      <c r="AH26" s="15" t="str">
        <f t="shared" ca="1" si="12"/>
        <v>R$ 72,46 x 4 Parcelas</v>
      </c>
      <c r="AJ26" s="41">
        <f t="shared" si="13"/>
        <v>695.02</v>
      </c>
      <c r="AK26" s="42">
        <f t="shared" si="14"/>
        <v>966.16</v>
      </c>
      <c r="AL26" s="43">
        <f t="shared" ca="1" si="15"/>
        <v>869.54399999999998</v>
      </c>
      <c r="AM26" s="43">
        <f t="shared" ca="1" si="16"/>
        <v>579.69599999999991</v>
      </c>
      <c r="AN26" s="43">
        <f t="shared" ca="1" si="17"/>
        <v>174.524</v>
      </c>
      <c r="AO26" s="44" t="str">
        <f t="shared" ca="1" si="18"/>
        <v>R$ 43,63 x 4 Parcelas</v>
      </c>
    </row>
    <row r="27" spans="1:42" x14ac:dyDescent="0.3">
      <c r="A27" t="s">
        <v>60</v>
      </c>
      <c r="B27" t="s">
        <v>61</v>
      </c>
      <c r="C27" t="s">
        <v>62</v>
      </c>
      <c r="D27" t="s">
        <v>63</v>
      </c>
      <c r="E27" t="s">
        <v>64</v>
      </c>
      <c r="F27" t="s">
        <v>65</v>
      </c>
      <c r="G27" s="1">
        <v>111</v>
      </c>
      <c r="H27" t="s">
        <v>66</v>
      </c>
      <c r="I27" t="s">
        <v>29</v>
      </c>
      <c r="J27" s="1">
        <v>79050112</v>
      </c>
      <c r="K27" t="s">
        <v>67</v>
      </c>
      <c r="L27" t="s">
        <v>30</v>
      </c>
      <c r="M27" s="1">
        <v>1</v>
      </c>
      <c r="N27" s="4">
        <v>42257</v>
      </c>
      <c r="O27" s="2">
        <v>275.98</v>
      </c>
      <c r="P27" s="2">
        <v>704.85</v>
      </c>
      <c r="Q27" s="2">
        <v>0</v>
      </c>
      <c r="R27" s="2">
        <f t="shared" si="19"/>
        <v>980.83</v>
      </c>
      <c r="S27" t="s">
        <v>31</v>
      </c>
      <c r="T27" t="s">
        <v>0</v>
      </c>
      <c r="U27" s="5">
        <f t="shared" ca="1" si="1"/>
        <v>3833</v>
      </c>
      <c r="V27" s="37">
        <f t="shared" ca="1" si="0"/>
        <v>0</v>
      </c>
      <c r="W27" s="38">
        <f t="shared" ca="1" si="2"/>
        <v>275.98</v>
      </c>
      <c r="X27" s="38">
        <f t="shared" ca="1" si="3"/>
        <v>248.38200000000003</v>
      </c>
      <c r="Y27" s="39">
        <f t="shared" ca="1" si="20"/>
        <v>124.19100000000002</v>
      </c>
      <c r="Z27" s="39">
        <f t="shared" ca="1" si="5"/>
        <v>151.78899999999999</v>
      </c>
      <c r="AA27" s="40" t="str">
        <f t="shared" ca="1" si="6"/>
        <v>R$ 37,95 x 4 Parcelas</v>
      </c>
      <c r="AC27" s="17">
        <f t="shared" si="7"/>
        <v>704.85</v>
      </c>
      <c r="AD27" s="17">
        <f t="shared" si="8"/>
        <v>980.83</v>
      </c>
      <c r="AE27" s="17">
        <f t="shared" ca="1" si="9"/>
        <v>833.70550000000003</v>
      </c>
      <c r="AF27" s="17">
        <f t="shared" ca="1" si="10"/>
        <v>686.58100000000002</v>
      </c>
      <c r="AG27" s="17">
        <f t="shared" ca="1" si="11"/>
        <v>294.24900000000002</v>
      </c>
      <c r="AH27" s="15" t="str">
        <f t="shared" ca="1" si="12"/>
        <v>R$ 73,56 x 4 Parcelas</v>
      </c>
      <c r="AJ27" s="41">
        <f t="shared" si="13"/>
        <v>704.85</v>
      </c>
      <c r="AK27" s="42">
        <f t="shared" si="14"/>
        <v>980.83</v>
      </c>
      <c r="AL27" s="43">
        <f t="shared" ca="1" si="15"/>
        <v>882.74700000000007</v>
      </c>
      <c r="AM27" s="43">
        <f t="shared" ca="1" si="16"/>
        <v>588.49800000000005</v>
      </c>
      <c r="AN27" s="43">
        <f t="shared" ca="1" si="17"/>
        <v>177.89700000000005</v>
      </c>
      <c r="AO27" s="44" t="str">
        <f t="shared" ca="1" si="18"/>
        <v>R$ 44,47 x 4 Parcelas</v>
      </c>
    </row>
    <row r="28" spans="1:42" x14ac:dyDescent="0.3">
      <c r="A28" t="s">
        <v>60</v>
      </c>
      <c r="B28" t="s">
        <v>61</v>
      </c>
      <c r="C28" t="s">
        <v>62</v>
      </c>
      <c r="D28" t="s">
        <v>63</v>
      </c>
      <c r="E28" t="s">
        <v>64</v>
      </c>
      <c r="F28" t="s">
        <v>65</v>
      </c>
      <c r="G28" s="1">
        <v>111</v>
      </c>
      <c r="H28" t="s">
        <v>66</v>
      </c>
      <c r="I28" t="s">
        <v>29</v>
      </c>
      <c r="J28" s="1">
        <v>79050112</v>
      </c>
      <c r="K28" t="s">
        <v>67</v>
      </c>
      <c r="L28" t="s">
        <v>30</v>
      </c>
      <c r="M28" s="1">
        <v>1</v>
      </c>
      <c r="N28" s="4">
        <v>42318</v>
      </c>
      <c r="O28" s="2">
        <v>275.98</v>
      </c>
      <c r="P28" s="2">
        <v>693.63</v>
      </c>
      <c r="Q28" s="2">
        <v>0</v>
      </c>
      <c r="R28" s="2">
        <f t="shared" si="19"/>
        <v>969.61</v>
      </c>
      <c r="S28" t="s">
        <v>31</v>
      </c>
      <c r="T28" t="s">
        <v>0</v>
      </c>
      <c r="U28" s="5">
        <f t="shared" ca="1" si="1"/>
        <v>3772</v>
      </c>
      <c r="V28" s="37">
        <f t="shared" ca="1" si="0"/>
        <v>0</v>
      </c>
      <c r="W28" s="38">
        <f t="shared" ca="1" si="2"/>
        <v>275.98</v>
      </c>
      <c r="X28" s="38">
        <f t="shared" ca="1" si="3"/>
        <v>248.38200000000003</v>
      </c>
      <c r="Y28" s="39">
        <f t="shared" ca="1" si="20"/>
        <v>124.19100000000002</v>
      </c>
      <c r="Z28" s="39">
        <f t="shared" ca="1" si="5"/>
        <v>151.78899999999999</v>
      </c>
      <c r="AA28" s="40" t="str">
        <f t="shared" ca="1" si="6"/>
        <v>R$ 37,95 x 4 Parcelas</v>
      </c>
      <c r="AC28" s="17">
        <f t="shared" si="7"/>
        <v>693.63</v>
      </c>
      <c r="AD28" s="17">
        <f t="shared" si="8"/>
        <v>969.61</v>
      </c>
      <c r="AE28" s="17">
        <f t="shared" ca="1" si="9"/>
        <v>824.16849999999999</v>
      </c>
      <c r="AF28" s="17">
        <f t="shared" ca="1" si="10"/>
        <v>678.72699999999998</v>
      </c>
      <c r="AG28" s="17">
        <f t="shared" ca="1" si="11"/>
        <v>290.88300000000004</v>
      </c>
      <c r="AH28" s="15" t="str">
        <f t="shared" ca="1" si="12"/>
        <v>R$ 72,72 x 4 Parcelas</v>
      </c>
      <c r="AJ28" s="41">
        <f t="shared" si="13"/>
        <v>693.63</v>
      </c>
      <c r="AK28" s="42">
        <f t="shared" si="14"/>
        <v>969.61</v>
      </c>
      <c r="AL28" s="43">
        <f t="shared" ca="1" si="15"/>
        <v>872.649</v>
      </c>
      <c r="AM28" s="43">
        <f t="shared" ca="1" si="16"/>
        <v>581.76599999999996</v>
      </c>
      <c r="AN28" s="43">
        <f t="shared" ca="1" si="17"/>
        <v>179.01900000000001</v>
      </c>
      <c r="AO28" s="44" t="str">
        <f t="shared" ca="1" si="18"/>
        <v>R$ 44,75 x 4 Parcelas</v>
      </c>
    </row>
    <row r="29" spans="1:42" x14ac:dyDescent="0.3">
      <c r="A29" t="s">
        <v>101</v>
      </c>
      <c r="B29" t="s">
        <v>102</v>
      </c>
      <c r="C29" t="s">
        <v>103</v>
      </c>
      <c r="D29" t="s">
        <v>21</v>
      </c>
      <c r="E29" t="s">
        <v>104</v>
      </c>
      <c r="F29" t="s">
        <v>105</v>
      </c>
      <c r="G29" s="1">
        <v>975</v>
      </c>
      <c r="H29" t="s">
        <v>106</v>
      </c>
      <c r="I29" t="s">
        <v>29</v>
      </c>
      <c r="J29" t="s">
        <v>107</v>
      </c>
      <c r="K29" t="s">
        <v>108</v>
      </c>
      <c r="L29" t="s">
        <v>48</v>
      </c>
      <c r="M29" s="1">
        <v>3</v>
      </c>
      <c r="N29" s="4">
        <v>42343</v>
      </c>
      <c r="O29" s="2">
        <v>341.26</v>
      </c>
      <c r="P29" s="2">
        <v>851.56</v>
      </c>
      <c r="Q29" s="2">
        <v>0</v>
      </c>
      <c r="R29" s="2">
        <f t="shared" si="19"/>
        <v>1192.82</v>
      </c>
      <c r="S29" t="s">
        <v>31</v>
      </c>
      <c r="T29" t="s">
        <v>0</v>
      </c>
      <c r="U29" s="5">
        <f t="shared" ca="1" si="1"/>
        <v>3747</v>
      </c>
      <c r="V29" s="37">
        <f t="shared" ca="1" si="0"/>
        <v>0</v>
      </c>
      <c r="W29" s="38">
        <f t="shared" ca="1" si="2"/>
        <v>341.26</v>
      </c>
      <c r="X29" s="38">
        <f t="shared" ca="1" si="3"/>
        <v>307.13400000000001</v>
      </c>
      <c r="Y29" s="39">
        <f t="shared" ca="1" si="20"/>
        <v>153.56700000000001</v>
      </c>
      <c r="Z29" s="39">
        <f t="shared" ca="1" si="5"/>
        <v>187.69299999999998</v>
      </c>
      <c r="AA29" s="40" t="str">
        <f t="shared" ca="1" si="6"/>
        <v>R$ 46,92 x 4 Parcelas</v>
      </c>
      <c r="AC29" s="17">
        <f t="shared" si="7"/>
        <v>851.56</v>
      </c>
      <c r="AD29" s="17">
        <f t="shared" si="8"/>
        <v>1192.82</v>
      </c>
      <c r="AE29" s="17">
        <f t="shared" ca="1" si="9"/>
        <v>1013.8969999999999</v>
      </c>
      <c r="AF29" s="17">
        <f t="shared" ca="1" si="10"/>
        <v>834.97399999999993</v>
      </c>
      <c r="AG29" s="17">
        <f t="shared" ca="1" si="11"/>
        <v>357.846</v>
      </c>
      <c r="AH29" s="15" t="str">
        <f t="shared" ca="1" si="12"/>
        <v>R$ 89,46 x 4 Parcelas</v>
      </c>
      <c r="AJ29" s="41">
        <f t="shared" si="13"/>
        <v>851.56</v>
      </c>
      <c r="AK29" s="42">
        <f t="shared" si="14"/>
        <v>1192.82</v>
      </c>
      <c r="AL29" s="43">
        <f t="shared" ca="1" si="15"/>
        <v>1073.538</v>
      </c>
      <c r="AM29" s="43">
        <f t="shared" ca="1" si="16"/>
        <v>715.69199999999989</v>
      </c>
      <c r="AN29" s="43">
        <f t="shared" ca="1" si="17"/>
        <v>221.97800000000007</v>
      </c>
      <c r="AO29" s="44" t="str">
        <f t="shared" ca="1" si="18"/>
        <v>R$ 55,49 x 4 Parcelas</v>
      </c>
    </row>
    <row r="30" spans="1:42" x14ac:dyDescent="0.3">
      <c r="A30" t="s">
        <v>109</v>
      </c>
      <c r="B30" t="s">
        <v>110</v>
      </c>
      <c r="C30" t="s">
        <v>111</v>
      </c>
      <c r="D30" t="s">
        <v>112</v>
      </c>
      <c r="E30" t="s">
        <v>113</v>
      </c>
      <c r="F30" t="s">
        <v>114</v>
      </c>
      <c r="G30" s="1">
        <v>118</v>
      </c>
      <c r="H30" t="s">
        <v>115</v>
      </c>
      <c r="I30" t="s">
        <v>29</v>
      </c>
      <c r="J30" s="1">
        <v>79034020</v>
      </c>
      <c r="K30" t="s">
        <v>21</v>
      </c>
      <c r="L30" t="s">
        <v>48</v>
      </c>
      <c r="M30" s="1">
        <v>1</v>
      </c>
      <c r="N30" s="4">
        <v>42343</v>
      </c>
      <c r="O30" s="2">
        <v>316.55</v>
      </c>
      <c r="P30" s="2">
        <v>789.9</v>
      </c>
      <c r="Q30" s="2">
        <v>0</v>
      </c>
      <c r="R30" s="2">
        <f t="shared" si="19"/>
        <v>1106.45</v>
      </c>
      <c r="S30" t="s">
        <v>31</v>
      </c>
      <c r="T30" t="s">
        <v>0</v>
      </c>
      <c r="U30" s="5">
        <f t="shared" ca="1" si="1"/>
        <v>3747</v>
      </c>
      <c r="V30" s="37">
        <f t="shared" ca="1" si="0"/>
        <v>0</v>
      </c>
      <c r="W30" s="38">
        <f t="shared" ca="1" si="2"/>
        <v>316.55</v>
      </c>
      <c r="X30" s="38">
        <f t="shared" ca="1" si="3"/>
        <v>284.89500000000004</v>
      </c>
      <c r="Y30" s="39">
        <f t="shared" ca="1" si="20"/>
        <v>142.44750000000002</v>
      </c>
      <c r="Z30" s="39">
        <f t="shared" ca="1" si="5"/>
        <v>174.10249999999999</v>
      </c>
      <c r="AA30" s="40" t="str">
        <f t="shared" ca="1" si="6"/>
        <v>R$ 43,53 x 4 Parcelas</v>
      </c>
      <c r="AC30" s="17">
        <f t="shared" si="7"/>
        <v>789.9</v>
      </c>
      <c r="AD30" s="17">
        <f t="shared" si="8"/>
        <v>1106.45</v>
      </c>
      <c r="AE30" s="17">
        <f t="shared" ca="1" si="9"/>
        <v>940.48249999999996</v>
      </c>
      <c r="AF30" s="17">
        <f t="shared" ca="1" si="10"/>
        <v>774.51499999999999</v>
      </c>
      <c r="AG30" s="17">
        <f t="shared" ca="1" si="11"/>
        <v>331.93500000000006</v>
      </c>
      <c r="AH30" s="15" t="str">
        <f t="shared" ca="1" si="12"/>
        <v>R$ 82,98 x 4 Parcelas</v>
      </c>
      <c r="AJ30" s="41">
        <f t="shared" si="13"/>
        <v>789.9</v>
      </c>
      <c r="AK30" s="42">
        <f t="shared" si="14"/>
        <v>1106.45</v>
      </c>
      <c r="AL30" s="43">
        <f t="shared" ca="1" si="15"/>
        <v>995.80500000000006</v>
      </c>
      <c r="AM30" s="43">
        <f t="shared" ca="1" si="16"/>
        <v>663.87</v>
      </c>
      <c r="AN30" s="43">
        <f t="shared" ca="1" si="17"/>
        <v>205.90500000000009</v>
      </c>
      <c r="AO30" s="44" t="str">
        <f t="shared" ca="1" si="18"/>
        <v>R$ 51,48 x 4 Parcelas</v>
      </c>
    </row>
    <row r="31" spans="1:42" x14ac:dyDescent="0.3">
      <c r="A31" t="s">
        <v>109</v>
      </c>
      <c r="B31" t="s">
        <v>110</v>
      </c>
      <c r="C31" t="s">
        <v>111</v>
      </c>
      <c r="D31" t="s">
        <v>112</v>
      </c>
      <c r="E31" t="s">
        <v>113</v>
      </c>
      <c r="F31" t="s">
        <v>114</v>
      </c>
      <c r="G31" s="1">
        <v>118</v>
      </c>
      <c r="H31" t="s">
        <v>115</v>
      </c>
      <c r="I31" t="s">
        <v>29</v>
      </c>
      <c r="J31" s="1">
        <v>79034020</v>
      </c>
      <c r="K31" t="s">
        <v>21</v>
      </c>
      <c r="L31" t="s">
        <v>48</v>
      </c>
      <c r="M31" s="1">
        <v>1</v>
      </c>
      <c r="N31" s="4">
        <v>42343</v>
      </c>
      <c r="O31" s="2">
        <v>62</v>
      </c>
      <c r="P31" s="2">
        <v>154.71</v>
      </c>
      <c r="Q31" s="2">
        <v>0</v>
      </c>
      <c r="R31" s="2">
        <f t="shared" si="19"/>
        <v>216.71</v>
      </c>
      <c r="S31" t="s">
        <v>31</v>
      </c>
      <c r="T31" t="s">
        <v>32</v>
      </c>
      <c r="U31" s="5">
        <f t="shared" ca="1" si="1"/>
        <v>3747</v>
      </c>
      <c r="V31" s="37">
        <f t="shared" ca="1" si="0"/>
        <v>0</v>
      </c>
      <c r="W31" s="38">
        <f t="shared" ca="1" si="2"/>
        <v>62</v>
      </c>
      <c r="X31" s="38">
        <f t="shared" ca="1" si="3"/>
        <v>55.800000000000004</v>
      </c>
      <c r="Y31" s="39">
        <f t="shared" ca="1" si="20"/>
        <v>27.900000000000002</v>
      </c>
      <c r="Z31" s="39">
        <f t="shared" ca="1" si="5"/>
        <v>34.099999999999994</v>
      </c>
      <c r="AA31" s="40" t="str">
        <f t="shared" ca="1" si="6"/>
        <v>R$ 8,53 x 4 Parcelas</v>
      </c>
      <c r="AC31" s="17">
        <f t="shared" si="7"/>
        <v>154.71</v>
      </c>
      <c r="AD31" s="17">
        <f t="shared" si="8"/>
        <v>216.71</v>
      </c>
      <c r="AE31" s="17">
        <f t="shared" ca="1" si="9"/>
        <v>184.20349999999999</v>
      </c>
      <c r="AF31" s="17">
        <f t="shared" ca="1" si="10"/>
        <v>151.697</v>
      </c>
      <c r="AG31" s="17">
        <f t="shared" ca="1" si="11"/>
        <v>65.013000000000005</v>
      </c>
      <c r="AH31" s="15" t="str">
        <f t="shared" ca="1" si="12"/>
        <v>R$ 16,25 x 4 Parcelas</v>
      </c>
      <c r="AJ31" s="41">
        <f t="shared" si="13"/>
        <v>154.71</v>
      </c>
      <c r="AK31" s="42">
        <f t="shared" si="14"/>
        <v>216.71</v>
      </c>
      <c r="AL31" s="43">
        <f t="shared" ca="1" si="15"/>
        <v>195.03900000000002</v>
      </c>
      <c r="AM31" s="43">
        <f t="shared" ca="1" si="16"/>
        <v>130.02600000000001</v>
      </c>
      <c r="AN31" s="43">
        <f t="shared" ca="1" si="17"/>
        <v>40.329000000000008</v>
      </c>
      <c r="AO31" s="44" t="str">
        <f t="shared" ca="1" si="18"/>
        <v>R$ 10,08 x 4 Parcelas</v>
      </c>
    </row>
    <row r="32" spans="1:42" x14ac:dyDescent="0.3">
      <c r="A32" t="s">
        <v>60</v>
      </c>
      <c r="B32" t="s">
        <v>61</v>
      </c>
      <c r="C32" t="s">
        <v>62</v>
      </c>
      <c r="D32" t="s">
        <v>63</v>
      </c>
      <c r="E32" t="s">
        <v>64</v>
      </c>
      <c r="F32" t="s">
        <v>65</v>
      </c>
      <c r="G32" s="1">
        <v>111</v>
      </c>
      <c r="H32" t="s">
        <v>66</v>
      </c>
      <c r="I32" t="s">
        <v>29</v>
      </c>
      <c r="J32" s="1">
        <v>79050112</v>
      </c>
      <c r="K32" t="s">
        <v>67</v>
      </c>
      <c r="L32" t="s">
        <v>30</v>
      </c>
      <c r="M32" s="1">
        <v>1</v>
      </c>
      <c r="N32" s="4">
        <v>42348</v>
      </c>
      <c r="O32" s="2">
        <v>275.99</v>
      </c>
      <c r="P32" s="2">
        <v>688.14</v>
      </c>
      <c r="Q32" s="2">
        <v>0</v>
      </c>
      <c r="R32" s="2">
        <f t="shared" si="19"/>
        <v>964.13</v>
      </c>
      <c r="S32" t="s">
        <v>31</v>
      </c>
      <c r="T32" t="s">
        <v>0</v>
      </c>
      <c r="U32" s="5">
        <f t="shared" ca="1" si="1"/>
        <v>3742</v>
      </c>
      <c r="V32" s="37">
        <f t="shared" ca="1" si="0"/>
        <v>0</v>
      </c>
      <c r="W32" s="38">
        <f t="shared" ca="1" si="2"/>
        <v>275.99</v>
      </c>
      <c r="X32" s="38">
        <f t="shared" ca="1" si="3"/>
        <v>248.39100000000002</v>
      </c>
      <c r="Y32" s="39">
        <f t="shared" ca="1" si="20"/>
        <v>124.19550000000001</v>
      </c>
      <c r="Z32" s="39">
        <f t="shared" ca="1" si="5"/>
        <v>151.7945</v>
      </c>
      <c r="AA32" s="40" t="str">
        <f t="shared" ca="1" si="6"/>
        <v>R$ 37,95 x 4 Parcelas</v>
      </c>
      <c r="AC32" s="17">
        <f t="shared" si="7"/>
        <v>688.14</v>
      </c>
      <c r="AD32" s="17">
        <f t="shared" si="8"/>
        <v>964.13</v>
      </c>
      <c r="AE32" s="17">
        <f t="shared" ca="1" si="9"/>
        <v>819.51049999999998</v>
      </c>
      <c r="AF32" s="17">
        <f t="shared" ca="1" si="10"/>
        <v>674.89099999999996</v>
      </c>
      <c r="AG32" s="17">
        <f t="shared" ca="1" si="11"/>
        <v>289.23900000000003</v>
      </c>
      <c r="AH32" s="15" t="str">
        <f t="shared" ca="1" si="12"/>
        <v>R$ 72,31 x 4 Parcelas</v>
      </c>
      <c r="AJ32" s="41">
        <f t="shared" si="13"/>
        <v>688.14</v>
      </c>
      <c r="AK32" s="42">
        <f t="shared" si="14"/>
        <v>964.13</v>
      </c>
      <c r="AL32" s="43">
        <f t="shared" ca="1" si="15"/>
        <v>867.71699999999998</v>
      </c>
      <c r="AM32" s="43">
        <f t="shared" ca="1" si="16"/>
        <v>578.47799999999995</v>
      </c>
      <c r="AN32" s="43">
        <f t="shared" ca="1" si="17"/>
        <v>179.577</v>
      </c>
      <c r="AO32" s="44" t="str">
        <f t="shared" ca="1" si="18"/>
        <v>R$ 44,89 x 4 Parcelas</v>
      </c>
    </row>
    <row r="33" spans="1:41" x14ac:dyDescent="0.3">
      <c r="A33" t="s">
        <v>116</v>
      </c>
      <c r="B33" t="s">
        <v>117</v>
      </c>
      <c r="C33" t="s">
        <v>118</v>
      </c>
      <c r="D33" t="s">
        <v>119</v>
      </c>
      <c r="E33" t="s">
        <v>21</v>
      </c>
      <c r="F33" t="s">
        <v>120</v>
      </c>
      <c r="G33" t="s">
        <v>21</v>
      </c>
      <c r="H33" t="s">
        <v>46</v>
      </c>
      <c r="I33" t="s">
        <v>29</v>
      </c>
      <c r="J33" s="1">
        <v>79002060</v>
      </c>
      <c r="K33" t="s">
        <v>21</v>
      </c>
      <c r="L33" t="s">
        <v>48</v>
      </c>
      <c r="M33" s="1">
        <v>3</v>
      </c>
      <c r="N33" s="4">
        <v>42378</v>
      </c>
      <c r="O33" s="2">
        <v>124</v>
      </c>
      <c r="P33" s="2">
        <v>306.52999999999997</v>
      </c>
      <c r="Q33" s="2">
        <v>0</v>
      </c>
      <c r="R33" s="2">
        <f t="shared" si="19"/>
        <v>430.53</v>
      </c>
      <c r="S33" t="s">
        <v>31</v>
      </c>
      <c r="T33" t="s">
        <v>32</v>
      </c>
      <c r="U33" s="5">
        <f t="shared" ca="1" si="1"/>
        <v>3712</v>
      </c>
      <c r="V33" s="37">
        <f t="shared" ca="1" si="0"/>
        <v>0</v>
      </c>
      <c r="W33" s="38">
        <f t="shared" ca="1" si="2"/>
        <v>124</v>
      </c>
      <c r="X33" s="38">
        <f t="shared" ca="1" si="3"/>
        <v>111.60000000000001</v>
      </c>
      <c r="Y33" s="39">
        <f t="shared" ca="1" si="20"/>
        <v>55.800000000000004</v>
      </c>
      <c r="Z33" s="39">
        <f t="shared" ca="1" si="5"/>
        <v>68.199999999999989</v>
      </c>
      <c r="AA33" s="40" t="str">
        <f t="shared" ca="1" si="6"/>
        <v>R$ 17,05 x 4 Parcelas</v>
      </c>
      <c r="AC33" s="17">
        <f t="shared" si="7"/>
        <v>306.52999999999997</v>
      </c>
      <c r="AD33" s="17">
        <f t="shared" si="8"/>
        <v>430.53</v>
      </c>
      <c r="AE33" s="17">
        <f t="shared" ca="1" si="9"/>
        <v>365.95049999999998</v>
      </c>
      <c r="AF33" s="17">
        <f t="shared" ca="1" si="10"/>
        <v>301.37099999999998</v>
      </c>
      <c r="AG33" s="17">
        <f t="shared" ca="1" si="11"/>
        <v>129.15899999999999</v>
      </c>
      <c r="AH33" s="15" t="str">
        <f t="shared" ca="1" si="12"/>
        <v>R$ 32,29 x 4 Parcelas</v>
      </c>
      <c r="AJ33" s="41">
        <f t="shared" si="13"/>
        <v>306.52999999999997</v>
      </c>
      <c r="AK33" s="42">
        <f t="shared" si="14"/>
        <v>430.53</v>
      </c>
      <c r="AL33" s="43">
        <f t="shared" ca="1" si="15"/>
        <v>387.47699999999998</v>
      </c>
      <c r="AM33" s="43">
        <f t="shared" ca="1" si="16"/>
        <v>258.31799999999998</v>
      </c>
      <c r="AN33" s="43">
        <f t="shared" ca="1" si="17"/>
        <v>80.947000000000003</v>
      </c>
      <c r="AO33" s="44" t="str">
        <f t="shared" ca="1" si="18"/>
        <v>R$ 20,24 x 4 Parcelas</v>
      </c>
    </row>
    <row r="34" spans="1:41" x14ac:dyDescent="0.3">
      <c r="A34" t="s">
        <v>116</v>
      </c>
      <c r="B34" t="s">
        <v>117</v>
      </c>
      <c r="C34" t="s">
        <v>118</v>
      </c>
      <c r="D34" t="s">
        <v>119</v>
      </c>
      <c r="E34" t="s">
        <v>21</v>
      </c>
      <c r="F34" t="s">
        <v>120</v>
      </c>
      <c r="G34" t="s">
        <v>21</v>
      </c>
      <c r="H34" t="s">
        <v>46</v>
      </c>
      <c r="I34" t="s">
        <v>29</v>
      </c>
      <c r="J34" s="1">
        <v>79002060</v>
      </c>
      <c r="K34" t="s">
        <v>21</v>
      </c>
      <c r="L34" t="s">
        <v>48</v>
      </c>
      <c r="M34" s="1">
        <v>5</v>
      </c>
      <c r="N34" s="4">
        <v>42379</v>
      </c>
      <c r="O34" s="2">
        <v>331.78</v>
      </c>
      <c r="P34" s="2">
        <v>820.16</v>
      </c>
      <c r="Q34" s="2">
        <v>0</v>
      </c>
      <c r="R34" s="2">
        <f t="shared" si="19"/>
        <v>1151.94</v>
      </c>
      <c r="S34" t="s">
        <v>31</v>
      </c>
      <c r="T34" t="s">
        <v>53</v>
      </c>
      <c r="U34" s="5">
        <f t="shared" ca="1" si="1"/>
        <v>3711</v>
      </c>
      <c r="V34" s="37">
        <f t="shared" ca="1" si="0"/>
        <v>0</v>
      </c>
      <c r="W34" s="38">
        <f t="shared" ca="1" si="2"/>
        <v>331.78</v>
      </c>
      <c r="X34" s="38">
        <f t="shared" ca="1" si="3"/>
        <v>298.60199999999998</v>
      </c>
      <c r="Y34" s="39">
        <f t="shared" ca="1" si="20"/>
        <v>149.30099999999999</v>
      </c>
      <c r="Z34" s="39">
        <f t="shared" ca="1" si="5"/>
        <v>182.47899999999998</v>
      </c>
      <c r="AA34" s="40" t="str">
        <f t="shared" ca="1" si="6"/>
        <v>R$ 45,62 x 4 Parcelas</v>
      </c>
      <c r="AC34" s="17">
        <f t="shared" si="7"/>
        <v>820.16</v>
      </c>
      <c r="AD34" s="17">
        <f t="shared" si="8"/>
        <v>1151.94</v>
      </c>
      <c r="AE34" s="17">
        <f t="shared" ca="1" si="9"/>
        <v>979.149</v>
      </c>
      <c r="AF34" s="17">
        <f t="shared" ca="1" si="10"/>
        <v>806.35799999999995</v>
      </c>
      <c r="AG34" s="17">
        <f t="shared" ca="1" si="11"/>
        <v>345.58200000000011</v>
      </c>
      <c r="AH34" s="15" t="str">
        <f t="shared" ca="1" si="12"/>
        <v>R$ 86,40 x 4 Parcelas</v>
      </c>
      <c r="AJ34" s="41">
        <f t="shared" si="13"/>
        <v>820.16</v>
      </c>
      <c r="AK34" s="42">
        <f t="shared" si="14"/>
        <v>1151.94</v>
      </c>
      <c r="AL34" s="43">
        <f t="shared" ca="1" si="15"/>
        <v>1036.7460000000001</v>
      </c>
      <c r="AM34" s="43">
        <f t="shared" ca="1" si="16"/>
        <v>691.16399999999999</v>
      </c>
      <c r="AN34" s="43">
        <f t="shared" ca="1" si="17"/>
        <v>216.58600000000013</v>
      </c>
      <c r="AO34" s="44" t="str">
        <f t="shared" ca="1" si="18"/>
        <v>R$ 54,15 x 4 Parcelas</v>
      </c>
    </row>
    <row r="35" spans="1:41" x14ac:dyDescent="0.3">
      <c r="A35" t="s">
        <v>121</v>
      </c>
      <c r="B35" t="s">
        <v>122</v>
      </c>
      <c r="C35" t="s">
        <v>123</v>
      </c>
      <c r="D35" t="s">
        <v>124</v>
      </c>
      <c r="E35" t="s">
        <v>125</v>
      </c>
      <c r="F35" t="s">
        <v>126</v>
      </c>
      <c r="G35" s="1">
        <v>181</v>
      </c>
      <c r="H35" t="s">
        <v>127</v>
      </c>
      <c r="I35" t="s">
        <v>29</v>
      </c>
      <c r="J35" t="s">
        <v>128</v>
      </c>
      <c r="K35" t="s">
        <v>129</v>
      </c>
      <c r="L35" t="s">
        <v>30</v>
      </c>
      <c r="M35" s="1">
        <v>1</v>
      </c>
      <c r="N35" s="4">
        <v>42392</v>
      </c>
      <c r="O35" s="2">
        <v>1182.05</v>
      </c>
      <c r="P35" s="2">
        <v>2911</v>
      </c>
      <c r="Q35" s="2">
        <v>0</v>
      </c>
      <c r="R35" s="2">
        <f t="shared" si="19"/>
        <v>4093.05</v>
      </c>
      <c r="S35" t="s">
        <v>31</v>
      </c>
      <c r="T35" t="s">
        <v>0</v>
      </c>
      <c r="U35" s="5">
        <f t="shared" ca="1" si="1"/>
        <v>3698</v>
      </c>
      <c r="V35" s="37">
        <f t="shared" ca="1" si="0"/>
        <v>0</v>
      </c>
      <c r="W35" s="38">
        <f t="shared" ca="1" si="2"/>
        <v>1182.05</v>
      </c>
      <c r="X35" s="38">
        <f t="shared" ca="1" si="3"/>
        <v>1063.845</v>
      </c>
      <c r="Y35" s="39">
        <f t="shared" ca="1" si="20"/>
        <v>531.92250000000001</v>
      </c>
      <c r="Z35" s="39">
        <f t="shared" ca="1" si="5"/>
        <v>650.12749999999994</v>
      </c>
      <c r="AA35" s="40" t="str">
        <f t="shared" ca="1" si="6"/>
        <v>R$ 162,53 x 4 Parcelas</v>
      </c>
      <c r="AC35" s="17">
        <f t="shared" si="7"/>
        <v>2911</v>
      </c>
      <c r="AD35" s="17">
        <f t="shared" si="8"/>
        <v>4093.05</v>
      </c>
      <c r="AE35" s="17">
        <f t="shared" ca="1" si="9"/>
        <v>3479.0925000000002</v>
      </c>
      <c r="AF35" s="17">
        <f t="shared" ca="1" si="10"/>
        <v>2865.1349999999998</v>
      </c>
      <c r="AG35" s="17">
        <f t="shared" ca="1" si="11"/>
        <v>1227.9150000000004</v>
      </c>
      <c r="AH35" s="15" t="str">
        <f t="shared" ca="1" si="12"/>
        <v>R$ 306,98 x 4 Parcelas</v>
      </c>
      <c r="AJ35" s="41">
        <f t="shared" si="13"/>
        <v>2911</v>
      </c>
      <c r="AK35" s="42">
        <f t="shared" si="14"/>
        <v>4093.05</v>
      </c>
      <c r="AL35" s="43">
        <f t="shared" ca="1" si="15"/>
        <v>3683.7450000000003</v>
      </c>
      <c r="AM35" s="43">
        <f t="shared" ca="1" si="16"/>
        <v>2455.83</v>
      </c>
      <c r="AN35" s="43">
        <f t="shared" ca="1" si="17"/>
        <v>772.74500000000035</v>
      </c>
      <c r="AO35" s="44" t="str">
        <f t="shared" ca="1" si="18"/>
        <v>R$ 193,19 x 4 Parcelas</v>
      </c>
    </row>
    <row r="36" spans="1:41" x14ac:dyDescent="0.3">
      <c r="A36" t="s">
        <v>130</v>
      </c>
      <c r="B36" t="s">
        <v>131</v>
      </c>
      <c r="C36" t="s">
        <v>132</v>
      </c>
      <c r="D36" t="s">
        <v>133</v>
      </c>
      <c r="E36" t="s">
        <v>21</v>
      </c>
      <c r="F36" t="s">
        <v>134</v>
      </c>
      <c r="G36" s="1">
        <v>1965</v>
      </c>
      <c r="H36" t="s">
        <v>135</v>
      </c>
      <c r="I36" t="s">
        <v>29</v>
      </c>
      <c r="J36" t="s">
        <v>136</v>
      </c>
      <c r="K36" t="s">
        <v>21</v>
      </c>
      <c r="L36" t="s">
        <v>48</v>
      </c>
      <c r="M36" s="1">
        <v>1</v>
      </c>
      <c r="N36" s="4">
        <v>42405</v>
      </c>
      <c r="O36" s="2">
        <v>410.67</v>
      </c>
      <c r="P36" s="2">
        <v>1008.33</v>
      </c>
      <c r="Q36" s="2">
        <v>0</v>
      </c>
      <c r="R36" s="2">
        <f t="shared" si="19"/>
        <v>1419</v>
      </c>
      <c r="S36" t="s">
        <v>31</v>
      </c>
      <c r="T36" t="s">
        <v>0</v>
      </c>
      <c r="U36" s="5">
        <f t="shared" ca="1" si="1"/>
        <v>3685</v>
      </c>
      <c r="V36" s="37">
        <f t="shared" ca="1" si="0"/>
        <v>0</v>
      </c>
      <c r="W36" s="38">
        <f t="shared" ca="1" si="2"/>
        <v>410.67</v>
      </c>
      <c r="X36" s="38">
        <f t="shared" ca="1" si="3"/>
        <v>369.60300000000001</v>
      </c>
      <c r="Y36" s="39">
        <f t="shared" ca="1" si="20"/>
        <v>184.8015</v>
      </c>
      <c r="Z36" s="39">
        <f t="shared" ca="1" si="5"/>
        <v>225.86850000000001</v>
      </c>
      <c r="AA36" s="40" t="str">
        <f t="shared" ca="1" si="6"/>
        <v>R$ 56,47 x 4 Parcelas</v>
      </c>
      <c r="AC36" s="17">
        <f t="shared" si="7"/>
        <v>1008.33</v>
      </c>
      <c r="AD36" s="17">
        <f t="shared" si="8"/>
        <v>1419</v>
      </c>
      <c r="AE36" s="17">
        <f t="shared" ca="1" si="9"/>
        <v>1206.1499999999999</v>
      </c>
      <c r="AF36" s="17">
        <f t="shared" ca="1" si="10"/>
        <v>993.3</v>
      </c>
      <c r="AG36" s="17">
        <f t="shared" ca="1" si="11"/>
        <v>425.70000000000005</v>
      </c>
      <c r="AH36" s="15" t="str">
        <f t="shared" ca="1" si="12"/>
        <v>R$ 106,43 x 4 Parcelas</v>
      </c>
      <c r="AJ36" s="41">
        <f t="shared" si="13"/>
        <v>1008.33</v>
      </c>
      <c r="AK36" s="42">
        <f t="shared" si="14"/>
        <v>1419</v>
      </c>
      <c r="AL36" s="43">
        <f t="shared" ca="1" si="15"/>
        <v>1277.1000000000001</v>
      </c>
      <c r="AM36" s="43">
        <f t="shared" ca="1" si="16"/>
        <v>851.4</v>
      </c>
      <c r="AN36" s="43">
        <f t="shared" ca="1" si="17"/>
        <v>268.7700000000001</v>
      </c>
      <c r="AO36" s="44" t="str">
        <f t="shared" ca="1" si="18"/>
        <v>R$ 67,19 x 4 Parcelas</v>
      </c>
    </row>
    <row r="37" spans="1:41" x14ac:dyDescent="0.3">
      <c r="A37" t="s">
        <v>116</v>
      </c>
      <c r="B37" t="s">
        <v>117</v>
      </c>
      <c r="C37" t="s">
        <v>118</v>
      </c>
      <c r="D37" t="s">
        <v>119</v>
      </c>
      <c r="E37" t="s">
        <v>21</v>
      </c>
      <c r="F37" t="s">
        <v>120</v>
      </c>
      <c r="G37" t="s">
        <v>21</v>
      </c>
      <c r="H37" t="s">
        <v>46</v>
      </c>
      <c r="I37" t="s">
        <v>29</v>
      </c>
      <c r="J37" s="1">
        <v>79002060</v>
      </c>
      <c r="K37" t="s">
        <v>21</v>
      </c>
      <c r="L37" t="s">
        <v>48</v>
      </c>
      <c r="M37" s="1">
        <v>6</v>
      </c>
      <c r="N37" s="4">
        <v>42410</v>
      </c>
      <c r="O37" s="2">
        <v>331.78</v>
      </c>
      <c r="P37" s="2">
        <v>813.52</v>
      </c>
      <c r="Q37" s="2">
        <v>0</v>
      </c>
      <c r="R37" s="2">
        <f t="shared" si="19"/>
        <v>1145.3</v>
      </c>
      <c r="S37" t="s">
        <v>31</v>
      </c>
      <c r="T37" t="s">
        <v>53</v>
      </c>
      <c r="U37" s="5">
        <f t="shared" ca="1" si="1"/>
        <v>3680</v>
      </c>
      <c r="V37" s="37">
        <f t="shared" ca="1" si="0"/>
        <v>0</v>
      </c>
      <c r="W37" s="38">
        <f t="shared" ca="1" si="2"/>
        <v>331.78</v>
      </c>
      <c r="X37" s="38">
        <f t="shared" ca="1" si="3"/>
        <v>298.60199999999998</v>
      </c>
      <c r="Y37" s="39">
        <f t="shared" ca="1" si="20"/>
        <v>149.30099999999999</v>
      </c>
      <c r="Z37" s="39">
        <f t="shared" ca="1" si="5"/>
        <v>182.47899999999998</v>
      </c>
      <c r="AA37" s="40" t="str">
        <f t="shared" ca="1" si="6"/>
        <v>R$ 45,62 x 4 Parcelas</v>
      </c>
      <c r="AC37" s="17">
        <f t="shared" si="7"/>
        <v>813.52</v>
      </c>
      <c r="AD37" s="17">
        <f t="shared" si="8"/>
        <v>1145.3</v>
      </c>
      <c r="AE37" s="17">
        <f t="shared" ca="1" si="9"/>
        <v>973.50499999999988</v>
      </c>
      <c r="AF37" s="17">
        <f t="shared" ca="1" si="10"/>
        <v>801.70999999999992</v>
      </c>
      <c r="AG37" s="17">
        <f t="shared" ca="1" si="11"/>
        <v>343.59000000000003</v>
      </c>
      <c r="AH37" s="15" t="str">
        <f t="shared" ca="1" si="12"/>
        <v>R$ 85,90 x 4 Parcelas</v>
      </c>
      <c r="AJ37" s="41">
        <f t="shared" si="13"/>
        <v>813.52</v>
      </c>
      <c r="AK37" s="42">
        <f t="shared" si="14"/>
        <v>1145.3</v>
      </c>
      <c r="AL37" s="43">
        <f t="shared" ca="1" si="15"/>
        <v>1030.77</v>
      </c>
      <c r="AM37" s="43">
        <f t="shared" ca="1" si="16"/>
        <v>687.18</v>
      </c>
      <c r="AN37" s="43">
        <f t="shared" ca="1" si="17"/>
        <v>217.25</v>
      </c>
      <c r="AO37" s="44" t="str">
        <f t="shared" ca="1" si="18"/>
        <v>R$ 54,31 x 4 Parcelas</v>
      </c>
    </row>
    <row r="38" spans="1:41" x14ac:dyDescent="0.3">
      <c r="A38" t="s">
        <v>137</v>
      </c>
      <c r="B38" t="s">
        <v>138</v>
      </c>
      <c r="C38" t="s">
        <v>139</v>
      </c>
      <c r="D38" t="s">
        <v>36</v>
      </c>
      <c r="E38" t="s">
        <v>140</v>
      </c>
      <c r="F38" t="s">
        <v>141</v>
      </c>
      <c r="G38" s="1">
        <v>170</v>
      </c>
      <c r="H38" t="s">
        <v>142</v>
      </c>
      <c r="I38" t="s">
        <v>29</v>
      </c>
      <c r="J38" s="1">
        <v>79090291</v>
      </c>
      <c r="K38" t="s">
        <v>21</v>
      </c>
      <c r="L38" t="s">
        <v>30</v>
      </c>
      <c r="M38" s="1">
        <v>2</v>
      </c>
      <c r="N38" s="4">
        <v>42434</v>
      </c>
      <c r="O38" s="2">
        <v>62</v>
      </c>
      <c r="P38" s="2">
        <v>150.94999999999999</v>
      </c>
      <c r="Q38" s="2">
        <v>0</v>
      </c>
      <c r="R38" s="2">
        <f t="shared" si="19"/>
        <v>212.95</v>
      </c>
      <c r="S38" t="s">
        <v>31</v>
      </c>
      <c r="T38" t="s">
        <v>32</v>
      </c>
      <c r="U38" s="5">
        <f t="shared" ca="1" si="1"/>
        <v>3656</v>
      </c>
      <c r="V38" s="37">
        <f t="shared" ca="1" si="0"/>
        <v>0</v>
      </c>
      <c r="W38" s="38">
        <f t="shared" ca="1" si="2"/>
        <v>62</v>
      </c>
      <c r="X38" s="38">
        <f t="shared" ca="1" si="3"/>
        <v>55.800000000000004</v>
      </c>
      <c r="Y38" s="39">
        <f t="shared" ca="1" si="20"/>
        <v>27.900000000000002</v>
      </c>
      <c r="Z38" s="39">
        <f t="shared" ca="1" si="5"/>
        <v>34.099999999999994</v>
      </c>
      <c r="AA38" s="40" t="str">
        <f t="shared" ca="1" si="6"/>
        <v>R$ 8,53 x 4 Parcelas</v>
      </c>
      <c r="AC38" s="17">
        <f t="shared" si="7"/>
        <v>150.94999999999999</v>
      </c>
      <c r="AD38" s="17">
        <f t="shared" si="8"/>
        <v>212.95</v>
      </c>
      <c r="AE38" s="17">
        <f t="shared" ca="1" si="9"/>
        <v>181.00749999999999</v>
      </c>
      <c r="AF38" s="17">
        <f t="shared" ca="1" si="10"/>
        <v>149.06499999999997</v>
      </c>
      <c r="AG38" s="17">
        <f t="shared" ca="1" si="11"/>
        <v>63.885000000000019</v>
      </c>
      <c r="AH38" s="15" t="str">
        <f t="shared" ca="1" si="12"/>
        <v>R$ 15,97 x 4 Parcelas</v>
      </c>
      <c r="AJ38" s="41">
        <f t="shared" si="13"/>
        <v>150.94999999999999</v>
      </c>
      <c r="AK38" s="42">
        <f t="shared" si="14"/>
        <v>212.95</v>
      </c>
      <c r="AL38" s="43">
        <f t="shared" ca="1" si="15"/>
        <v>191.655</v>
      </c>
      <c r="AM38" s="43">
        <f t="shared" ca="1" si="16"/>
        <v>127.76999999999998</v>
      </c>
      <c r="AN38" s="43">
        <f t="shared" ca="1" si="17"/>
        <v>40.705000000000013</v>
      </c>
      <c r="AO38" s="44" t="str">
        <f t="shared" ca="1" si="18"/>
        <v>R$ 10,18 x 4 Parcelas</v>
      </c>
    </row>
    <row r="39" spans="1:41" x14ac:dyDescent="0.3">
      <c r="A39" t="s">
        <v>130</v>
      </c>
      <c r="B39" t="s">
        <v>131</v>
      </c>
      <c r="C39" t="s">
        <v>132</v>
      </c>
      <c r="D39" t="s">
        <v>133</v>
      </c>
      <c r="E39" t="s">
        <v>21</v>
      </c>
      <c r="F39" t="s">
        <v>134</v>
      </c>
      <c r="G39" s="1">
        <v>1965</v>
      </c>
      <c r="H39" t="s">
        <v>135</v>
      </c>
      <c r="I39" t="s">
        <v>29</v>
      </c>
      <c r="J39" t="s">
        <v>136</v>
      </c>
      <c r="K39" t="s">
        <v>21</v>
      </c>
      <c r="L39" t="s">
        <v>48</v>
      </c>
      <c r="M39" s="1">
        <v>1</v>
      </c>
      <c r="N39" s="4">
        <v>42434</v>
      </c>
      <c r="O39" s="2">
        <v>403.56</v>
      </c>
      <c r="P39" s="2">
        <v>982.53</v>
      </c>
      <c r="Q39" s="2">
        <v>0</v>
      </c>
      <c r="R39" s="2">
        <f t="shared" si="19"/>
        <v>1386.09</v>
      </c>
      <c r="S39" t="s">
        <v>31</v>
      </c>
      <c r="T39" t="s">
        <v>0</v>
      </c>
      <c r="U39" s="5">
        <f t="shared" ca="1" si="1"/>
        <v>3656</v>
      </c>
      <c r="V39" s="37">
        <f t="shared" ca="1" si="0"/>
        <v>0</v>
      </c>
      <c r="W39" s="38">
        <f t="shared" ca="1" si="2"/>
        <v>403.56</v>
      </c>
      <c r="X39" s="38">
        <f t="shared" ca="1" si="3"/>
        <v>363.20400000000001</v>
      </c>
      <c r="Y39" s="39">
        <f t="shared" ca="1" si="20"/>
        <v>181.602</v>
      </c>
      <c r="Z39" s="39">
        <f t="shared" ca="1" si="5"/>
        <v>221.958</v>
      </c>
      <c r="AA39" s="40" t="str">
        <f t="shared" ca="1" si="6"/>
        <v>R$ 55,49 x 4 Parcelas</v>
      </c>
      <c r="AC39" s="17">
        <f t="shared" si="7"/>
        <v>982.53</v>
      </c>
      <c r="AD39" s="17">
        <f t="shared" si="8"/>
        <v>1386.09</v>
      </c>
      <c r="AE39" s="17">
        <f t="shared" ca="1" si="9"/>
        <v>1178.1764999999998</v>
      </c>
      <c r="AF39" s="17">
        <f t="shared" ca="1" si="10"/>
        <v>970.26299999999992</v>
      </c>
      <c r="AG39" s="17">
        <f t="shared" ca="1" si="11"/>
        <v>415.827</v>
      </c>
      <c r="AH39" s="15" t="str">
        <f t="shared" ca="1" si="12"/>
        <v>R$ 103,96 x 4 Parcelas</v>
      </c>
      <c r="AJ39" s="41">
        <f t="shared" si="13"/>
        <v>982.53</v>
      </c>
      <c r="AK39" s="42">
        <f t="shared" si="14"/>
        <v>1386.09</v>
      </c>
      <c r="AL39" s="43">
        <f t="shared" ca="1" si="15"/>
        <v>1247.481</v>
      </c>
      <c r="AM39" s="43">
        <f t="shared" ca="1" si="16"/>
        <v>831.65399999999988</v>
      </c>
      <c r="AN39" s="43">
        <f t="shared" ca="1" si="17"/>
        <v>264.95100000000002</v>
      </c>
      <c r="AO39" s="44" t="str">
        <f t="shared" ca="1" si="18"/>
        <v>R$ 66,24 x 4 Parcelas</v>
      </c>
    </row>
    <row r="40" spans="1:41" x14ac:dyDescent="0.3">
      <c r="A40" t="s">
        <v>116</v>
      </c>
      <c r="B40" t="s">
        <v>117</v>
      </c>
      <c r="C40" t="s">
        <v>118</v>
      </c>
      <c r="D40" t="s">
        <v>119</v>
      </c>
      <c r="E40" t="s">
        <v>21</v>
      </c>
      <c r="F40" t="s">
        <v>120</v>
      </c>
      <c r="G40" t="s">
        <v>21</v>
      </c>
      <c r="H40" t="s">
        <v>46</v>
      </c>
      <c r="I40" t="s">
        <v>29</v>
      </c>
      <c r="J40" s="1">
        <v>79002060</v>
      </c>
      <c r="K40" t="s">
        <v>21</v>
      </c>
      <c r="L40" t="s">
        <v>48</v>
      </c>
      <c r="M40" s="1">
        <v>1</v>
      </c>
      <c r="N40" s="4">
        <v>42439</v>
      </c>
      <c r="O40" s="2">
        <v>367.97</v>
      </c>
      <c r="P40" s="2">
        <v>895.15</v>
      </c>
      <c r="Q40" s="2">
        <v>0</v>
      </c>
      <c r="R40" s="2">
        <f t="shared" si="19"/>
        <v>1263.1199999999999</v>
      </c>
      <c r="S40" t="s">
        <v>31</v>
      </c>
      <c r="T40" t="s">
        <v>0</v>
      </c>
      <c r="U40" s="5">
        <f t="shared" ca="1" si="1"/>
        <v>3651</v>
      </c>
      <c r="V40" s="37">
        <f t="shared" ca="1" si="0"/>
        <v>0</v>
      </c>
      <c r="W40" s="38">
        <f t="shared" ca="1" si="2"/>
        <v>367.97</v>
      </c>
      <c r="X40" s="38">
        <f t="shared" ca="1" si="3"/>
        <v>331.17300000000006</v>
      </c>
      <c r="Y40" s="39">
        <f t="shared" ca="1" si="20"/>
        <v>165.58650000000003</v>
      </c>
      <c r="Z40" s="39">
        <f t="shared" ca="1" si="5"/>
        <v>202.3835</v>
      </c>
      <c r="AA40" s="40" t="str">
        <f t="shared" ca="1" si="6"/>
        <v>R$ 50,60 x 4 Parcelas</v>
      </c>
      <c r="AC40" s="17">
        <f t="shared" si="7"/>
        <v>895.15</v>
      </c>
      <c r="AD40" s="17">
        <f t="shared" si="8"/>
        <v>1263.1199999999999</v>
      </c>
      <c r="AE40" s="17">
        <f t="shared" ca="1" si="9"/>
        <v>1073.6519999999998</v>
      </c>
      <c r="AF40" s="17">
        <f t="shared" ca="1" si="10"/>
        <v>884.18399999999986</v>
      </c>
      <c r="AG40" s="17">
        <f t="shared" ca="1" si="11"/>
        <v>378.93600000000004</v>
      </c>
      <c r="AH40" s="15" t="str">
        <f t="shared" ca="1" si="12"/>
        <v>R$ 94,73 x 4 Parcelas</v>
      </c>
      <c r="AJ40" s="41">
        <f t="shared" si="13"/>
        <v>895.15</v>
      </c>
      <c r="AK40" s="42">
        <f t="shared" si="14"/>
        <v>1263.1199999999999</v>
      </c>
      <c r="AL40" s="43">
        <f t="shared" ca="1" si="15"/>
        <v>1136.808</v>
      </c>
      <c r="AM40" s="43">
        <f t="shared" ca="1" si="16"/>
        <v>757.87199999999996</v>
      </c>
      <c r="AN40" s="43">
        <f t="shared" ca="1" si="17"/>
        <v>241.65800000000002</v>
      </c>
      <c r="AO40" s="44" t="str">
        <f t="shared" ca="1" si="18"/>
        <v>R$ 60,41 x 4 Parcelas</v>
      </c>
    </row>
    <row r="41" spans="1:41" x14ac:dyDescent="0.3">
      <c r="A41" t="s">
        <v>130</v>
      </c>
      <c r="B41" t="s">
        <v>131</v>
      </c>
      <c r="C41" t="s">
        <v>132</v>
      </c>
      <c r="D41" t="s">
        <v>133</v>
      </c>
      <c r="E41" t="s">
        <v>21</v>
      </c>
      <c r="F41" t="s">
        <v>134</v>
      </c>
      <c r="G41" s="1">
        <v>1965</v>
      </c>
      <c r="H41" t="s">
        <v>135</v>
      </c>
      <c r="I41" t="s">
        <v>29</v>
      </c>
      <c r="J41" t="s">
        <v>136</v>
      </c>
      <c r="K41" t="s">
        <v>21</v>
      </c>
      <c r="L41" t="s">
        <v>48</v>
      </c>
      <c r="M41" s="1">
        <v>1</v>
      </c>
      <c r="N41" s="4">
        <v>42465</v>
      </c>
      <c r="O41" s="2">
        <v>395.96</v>
      </c>
      <c r="P41" s="2">
        <v>956.38</v>
      </c>
      <c r="Q41" s="2">
        <v>0</v>
      </c>
      <c r="R41" s="2">
        <f t="shared" si="19"/>
        <v>1352.34</v>
      </c>
      <c r="S41" t="s">
        <v>31</v>
      </c>
      <c r="T41" t="s">
        <v>0</v>
      </c>
      <c r="U41" s="5">
        <f t="shared" ca="1" si="1"/>
        <v>3625</v>
      </c>
      <c r="V41" s="37">
        <f t="shared" ca="1" si="0"/>
        <v>0</v>
      </c>
      <c r="W41" s="38">
        <f t="shared" ca="1" si="2"/>
        <v>395.96</v>
      </c>
      <c r="X41" s="38">
        <f t="shared" ca="1" si="3"/>
        <v>356.36399999999998</v>
      </c>
      <c r="Y41" s="39">
        <f t="shared" ca="1" si="20"/>
        <v>178.18199999999999</v>
      </c>
      <c r="Z41" s="39">
        <f t="shared" ca="1" si="5"/>
        <v>217.77799999999999</v>
      </c>
      <c r="AA41" s="40" t="str">
        <f t="shared" ca="1" si="6"/>
        <v>R$ 54,44 x 4 Parcelas</v>
      </c>
      <c r="AC41" s="17">
        <f t="shared" si="7"/>
        <v>956.38</v>
      </c>
      <c r="AD41" s="17">
        <f t="shared" si="8"/>
        <v>1352.34</v>
      </c>
      <c r="AE41" s="17">
        <f t="shared" ca="1" si="9"/>
        <v>1149.4889999999998</v>
      </c>
      <c r="AF41" s="17">
        <f t="shared" ca="1" si="10"/>
        <v>946.63799999999992</v>
      </c>
      <c r="AG41" s="17">
        <f t="shared" ca="1" si="11"/>
        <v>405.702</v>
      </c>
      <c r="AH41" s="15" t="str">
        <f t="shared" ca="1" si="12"/>
        <v>R$ 101,43 x 4 Parcelas</v>
      </c>
      <c r="AJ41" s="41">
        <f t="shared" si="13"/>
        <v>956.38</v>
      </c>
      <c r="AK41" s="42">
        <f t="shared" si="14"/>
        <v>1352.34</v>
      </c>
      <c r="AL41" s="43">
        <f t="shared" ca="1" si="15"/>
        <v>1217.106</v>
      </c>
      <c r="AM41" s="43">
        <f t="shared" ca="1" si="16"/>
        <v>811.40399999999988</v>
      </c>
      <c r="AN41" s="43">
        <f t="shared" ca="1" si="17"/>
        <v>260.726</v>
      </c>
      <c r="AO41" s="44" t="str">
        <f t="shared" ca="1" si="18"/>
        <v>R$ 65,18 x 4 Parcelas</v>
      </c>
    </row>
    <row r="42" spans="1:41" x14ac:dyDescent="0.3">
      <c r="A42" t="s">
        <v>137</v>
      </c>
      <c r="B42" t="s">
        <v>138</v>
      </c>
      <c r="C42" t="s">
        <v>139</v>
      </c>
      <c r="D42" t="s">
        <v>36</v>
      </c>
      <c r="E42" t="s">
        <v>140</v>
      </c>
      <c r="F42" t="s">
        <v>141</v>
      </c>
      <c r="G42" s="1">
        <v>170</v>
      </c>
      <c r="H42" t="s">
        <v>142</v>
      </c>
      <c r="I42" t="s">
        <v>29</v>
      </c>
      <c r="J42" s="1">
        <v>79090291</v>
      </c>
      <c r="K42" t="s">
        <v>21</v>
      </c>
      <c r="L42" t="s">
        <v>30</v>
      </c>
      <c r="M42" s="1">
        <v>3</v>
      </c>
      <c r="N42" s="4">
        <v>42465</v>
      </c>
      <c r="O42" s="2">
        <v>62</v>
      </c>
      <c r="P42" s="2">
        <v>149.75</v>
      </c>
      <c r="Q42" s="2">
        <v>0</v>
      </c>
      <c r="R42" s="2">
        <f t="shared" si="19"/>
        <v>211.75</v>
      </c>
      <c r="S42" t="s">
        <v>31</v>
      </c>
      <c r="T42" t="s">
        <v>32</v>
      </c>
      <c r="U42" s="5">
        <f t="shared" ca="1" si="1"/>
        <v>3625</v>
      </c>
      <c r="V42" s="37">
        <f t="shared" ca="1" si="0"/>
        <v>0</v>
      </c>
      <c r="W42" s="38">
        <f t="shared" ca="1" si="2"/>
        <v>62</v>
      </c>
      <c r="X42" s="38">
        <f t="shared" ca="1" si="3"/>
        <v>55.800000000000004</v>
      </c>
      <c r="Y42" s="39">
        <f t="shared" ca="1" si="20"/>
        <v>27.900000000000002</v>
      </c>
      <c r="Z42" s="39">
        <f t="shared" ca="1" si="5"/>
        <v>34.099999999999994</v>
      </c>
      <c r="AA42" s="40" t="str">
        <f t="shared" ca="1" si="6"/>
        <v>R$ 8,53 x 4 Parcelas</v>
      </c>
      <c r="AC42" s="17">
        <f t="shared" si="7"/>
        <v>149.75</v>
      </c>
      <c r="AD42" s="17">
        <f t="shared" si="8"/>
        <v>211.75</v>
      </c>
      <c r="AE42" s="17">
        <f t="shared" ca="1" si="9"/>
        <v>179.98749999999998</v>
      </c>
      <c r="AF42" s="17">
        <f t="shared" ca="1" si="10"/>
        <v>148.22499999999999</v>
      </c>
      <c r="AG42" s="17">
        <f t="shared" ca="1" si="11"/>
        <v>63.525000000000006</v>
      </c>
      <c r="AH42" s="15" t="str">
        <f t="shared" ca="1" si="12"/>
        <v>R$ 15,88 x 4 Parcelas</v>
      </c>
      <c r="AJ42" s="41">
        <f t="shared" si="13"/>
        <v>149.75</v>
      </c>
      <c r="AK42" s="42">
        <f t="shared" si="14"/>
        <v>211.75</v>
      </c>
      <c r="AL42" s="43">
        <f t="shared" ca="1" si="15"/>
        <v>190.57500000000002</v>
      </c>
      <c r="AM42" s="43">
        <f t="shared" ca="1" si="16"/>
        <v>127.05</v>
      </c>
      <c r="AN42" s="43">
        <f t="shared" ca="1" si="17"/>
        <v>40.825000000000017</v>
      </c>
      <c r="AO42" s="44" t="str">
        <f t="shared" ca="1" si="18"/>
        <v>R$ 10,21 x 4 Parcelas</v>
      </c>
    </row>
    <row r="43" spans="1:41" x14ac:dyDescent="0.3">
      <c r="A43" t="s">
        <v>116</v>
      </c>
      <c r="B43" t="s">
        <v>117</v>
      </c>
      <c r="C43" t="s">
        <v>118</v>
      </c>
      <c r="D43" t="s">
        <v>119</v>
      </c>
      <c r="E43" t="s">
        <v>21</v>
      </c>
      <c r="F43" t="s">
        <v>120</v>
      </c>
      <c r="G43" t="s">
        <v>21</v>
      </c>
      <c r="H43" t="s">
        <v>46</v>
      </c>
      <c r="I43" t="s">
        <v>29</v>
      </c>
      <c r="J43" s="1">
        <v>79002060</v>
      </c>
      <c r="K43" t="s">
        <v>21</v>
      </c>
      <c r="L43" t="s">
        <v>48</v>
      </c>
      <c r="M43" s="1">
        <v>2</v>
      </c>
      <c r="N43" s="4">
        <v>42470</v>
      </c>
      <c r="O43" s="2">
        <v>367.97</v>
      </c>
      <c r="P43" s="2">
        <v>887.3</v>
      </c>
      <c r="Q43" s="2">
        <v>0</v>
      </c>
      <c r="R43" s="2">
        <f t="shared" si="19"/>
        <v>1255.27</v>
      </c>
      <c r="S43" t="s">
        <v>31</v>
      </c>
      <c r="T43" t="s">
        <v>0</v>
      </c>
      <c r="U43" s="5">
        <f t="shared" ca="1" si="1"/>
        <v>3620</v>
      </c>
      <c r="V43" s="37">
        <f t="shared" ca="1" si="0"/>
        <v>0</v>
      </c>
      <c r="W43" s="38">
        <f t="shared" ca="1" si="2"/>
        <v>367.97</v>
      </c>
      <c r="X43" s="38">
        <f t="shared" ca="1" si="3"/>
        <v>331.17300000000006</v>
      </c>
      <c r="Y43" s="39">
        <f t="shared" ca="1" si="20"/>
        <v>165.58650000000003</v>
      </c>
      <c r="Z43" s="39">
        <f t="shared" ca="1" si="5"/>
        <v>202.3835</v>
      </c>
      <c r="AA43" s="40" t="str">
        <f t="shared" ca="1" si="6"/>
        <v>R$ 50,60 x 4 Parcelas</v>
      </c>
      <c r="AC43" s="17">
        <f t="shared" si="7"/>
        <v>887.3</v>
      </c>
      <c r="AD43" s="17">
        <f t="shared" si="8"/>
        <v>1255.27</v>
      </c>
      <c r="AE43" s="17">
        <f t="shared" ca="1" si="9"/>
        <v>1066.9794999999999</v>
      </c>
      <c r="AF43" s="17">
        <f t="shared" ca="1" si="10"/>
        <v>878.68899999999996</v>
      </c>
      <c r="AG43" s="17">
        <f t="shared" ca="1" si="11"/>
        <v>376.58100000000002</v>
      </c>
      <c r="AH43" s="15" t="str">
        <f t="shared" ca="1" si="12"/>
        <v>R$ 94,15 x 4 Parcelas</v>
      </c>
      <c r="AJ43" s="41">
        <f t="shared" si="13"/>
        <v>887.3</v>
      </c>
      <c r="AK43" s="42">
        <f t="shared" si="14"/>
        <v>1255.27</v>
      </c>
      <c r="AL43" s="43">
        <f t="shared" ca="1" si="15"/>
        <v>1129.7429999999999</v>
      </c>
      <c r="AM43" s="43">
        <f t="shared" ca="1" si="16"/>
        <v>753.16199999999992</v>
      </c>
      <c r="AN43" s="43">
        <f t="shared" ca="1" si="17"/>
        <v>242.44299999999998</v>
      </c>
      <c r="AO43" s="44" t="str">
        <f t="shared" ca="1" si="18"/>
        <v>R$ 60,61 x 4 Parcelas</v>
      </c>
    </row>
    <row r="44" spans="1:41" x14ac:dyDescent="0.3">
      <c r="A44" t="s">
        <v>130</v>
      </c>
      <c r="B44" t="s">
        <v>131</v>
      </c>
      <c r="C44" t="s">
        <v>132</v>
      </c>
      <c r="D44" t="s">
        <v>133</v>
      </c>
      <c r="E44" t="s">
        <v>21</v>
      </c>
      <c r="F44" t="s">
        <v>134</v>
      </c>
      <c r="G44" s="1">
        <v>1965</v>
      </c>
      <c r="H44" t="s">
        <v>135</v>
      </c>
      <c r="I44" t="s">
        <v>29</v>
      </c>
      <c r="J44" t="s">
        <v>136</v>
      </c>
      <c r="K44" t="s">
        <v>21</v>
      </c>
      <c r="L44" t="s">
        <v>48</v>
      </c>
      <c r="M44" s="1">
        <v>1</v>
      </c>
      <c r="N44" s="4">
        <v>42495</v>
      </c>
      <c r="O44" s="2">
        <v>388.61</v>
      </c>
      <c r="P44" s="2">
        <v>930.85</v>
      </c>
      <c r="Q44" s="2">
        <v>0</v>
      </c>
      <c r="R44" s="2">
        <f t="shared" si="19"/>
        <v>1319.46</v>
      </c>
      <c r="S44" t="s">
        <v>31</v>
      </c>
      <c r="T44" t="s">
        <v>0</v>
      </c>
      <c r="U44" s="5">
        <f t="shared" ca="1" si="1"/>
        <v>3595</v>
      </c>
      <c r="V44" s="37">
        <f t="shared" ca="1" si="0"/>
        <v>0</v>
      </c>
      <c r="W44" s="38">
        <f t="shared" ca="1" si="2"/>
        <v>388.61</v>
      </c>
      <c r="X44" s="38">
        <f t="shared" ca="1" si="3"/>
        <v>349.74900000000002</v>
      </c>
      <c r="Y44" s="39">
        <f t="shared" ca="1" si="20"/>
        <v>174.87450000000001</v>
      </c>
      <c r="Z44" s="39">
        <f t="shared" ca="1" si="5"/>
        <v>213.7355</v>
      </c>
      <c r="AA44" s="40" t="str">
        <f t="shared" ca="1" si="6"/>
        <v>R$ 53,43 x 4 Parcelas</v>
      </c>
      <c r="AC44" s="17">
        <f t="shared" si="7"/>
        <v>930.85</v>
      </c>
      <c r="AD44" s="17">
        <f t="shared" si="8"/>
        <v>1319.46</v>
      </c>
      <c r="AE44" s="17">
        <f t="shared" ca="1" si="9"/>
        <v>1121.5409999999999</v>
      </c>
      <c r="AF44" s="17">
        <f t="shared" ca="1" si="10"/>
        <v>923.62199999999996</v>
      </c>
      <c r="AG44" s="17">
        <f t="shared" ca="1" si="11"/>
        <v>395.83800000000008</v>
      </c>
      <c r="AH44" s="15" t="str">
        <f t="shared" ca="1" si="12"/>
        <v>R$ 98,96 x 4 Parcelas</v>
      </c>
      <c r="AJ44" s="41">
        <f t="shared" si="13"/>
        <v>930.85</v>
      </c>
      <c r="AK44" s="42">
        <f t="shared" si="14"/>
        <v>1319.46</v>
      </c>
      <c r="AL44" s="43">
        <f t="shared" ca="1" si="15"/>
        <v>1187.5140000000001</v>
      </c>
      <c r="AM44" s="43">
        <f t="shared" ca="1" si="16"/>
        <v>791.67600000000004</v>
      </c>
      <c r="AN44" s="43">
        <f t="shared" ca="1" si="17"/>
        <v>256.6640000000001</v>
      </c>
      <c r="AO44" s="44" t="str">
        <f t="shared" ca="1" si="18"/>
        <v>R$ 64,17 x 4 Parcelas</v>
      </c>
    </row>
    <row r="45" spans="1:41" x14ac:dyDescent="0.3">
      <c r="A45" t="s">
        <v>137</v>
      </c>
      <c r="B45" t="s">
        <v>138</v>
      </c>
      <c r="C45" t="s">
        <v>139</v>
      </c>
      <c r="D45" t="s">
        <v>36</v>
      </c>
      <c r="E45" t="s">
        <v>140</v>
      </c>
      <c r="F45" t="s">
        <v>141</v>
      </c>
      <c r="G45" s="1">
        <v>170</v>
      </c>
      <c r="H45" t="s">
        <v>142</v>
      </c>
      <c r="I45" t="s">
        <v>29</v>
      </c>
      <c r="J45" s="1">
        <v>79090291</v>
      </c>
      <c r="K45" t="s">
        <v>21</v>
      </c>
      <c r="L45" t="s">
        <v>30</v>
      </c>
      <c r="M45" s="1">
        <v>4</v>
      </c>
      <c r="N45" s="4">
        <v>42495</v>
      </c>
      <c r="O45" s="2">
        <v>62</v>
      </c>
      <c r="P45" s="2">
        <v>148.51</v>
      </c>
      <c r="Q45" s="2">
        <v>0</v>
      </c>
      <c r="R45" s="2">
        <f t="shared" si="19"/>
        <v>210.51</v>
      </c>
      <c r="S45" t="s">
        <v>31</v>
      </c>
      <c r="T45" t="s">
        <v>32</v>
      </c>
      <c r="U45" s="5">
        <f t="shared" ca="1" si="1"/>
        <v>3595</v>
      </c>
      <c r="V45" s="37">
        <f t="shared" ca="1" si="0"/>
        <v>0</v>
      </c>
      <c r="W45" s="38">
        <f t="shared" ca="1" si="2"/>
        <v>62</v>
      </c>
      <c r="X45" s="38">
        <f t="shared" ca="1" si="3"/>
        <v>55.800000000000004</v>
      </c>
      <c r="Y45" s="39">
        <f t="shared" ca="1" si="20"/>
        <v>27.900000000000002</v>
      </c>
      <c r="Z45" s="39">
        <f t="shared" ca="1" si="5"/>
        <v>34.099999999999994</v>
      </c>
      <c r="AA45" s="40" t="str">
        <f t="shared" ca="1" si="6"/>
        <v>R$ 8,53 x 4 Parcelas</v>
      </c>
      <c r="AC45" s="17">
        <f t="shared" si="7"/>
        <v>148.51</v>
      </c>
      <c r="AD45" s="17">
        <f t="shared" si="8"/>
        <v>210.51</v>
      </c>
      <c r="AE45" s="17">
        <f t="shared" ca="1" si="9"/>
        <v>178.93349999999998</v>
      </c>
      <c r="AF45" s="17">
        <f t="shared" ca="1" si="10"/>
        <v>147.35699999999997</v>
      </c>
      <c r="AG45" s="17">
        <f t="shared" ca="1" si="11"/>
        <v>63.15300000000002</v>
      </c>
      <c r="AH45" s="15" t="str">
        <f t="shared" ca="1" si="12"/>
        <v>R$ 15,79 x 4 Parcelas</v>
      </c>
      <c r="AJ45" s="41">
        <f t="shared" si="13"/>
        <v>148.51</v>
      </c>
      <c r="AK45" s="42">
        <f t="shared" si="14"/>
        <v>210.51</v>
      </c>
      <c r="AL45" s="43">
        <f t="shared" ca="1" si="15"/>
        <v>189.459</v>
      </c>
      <c r="AM45" s="43">
        <f t="shared" ca="1" si="16"/>
        <v>126.30599999999998</v>
      </c>
      <c r="AN45" s="43">
        <f t="shared" ca="1" si="17"/>
        <v>40.949000000000012</v>
      </c>
      <c r="AO45" s="44" t="str">
        <f t="shared" ca="1" si="18"/>
        <v>R$ 10,24 x 4 Parcelas</v>
      </c>
    </row>
    <row r="46" spans="1:41" x14ac:dyDescent="0.3">
      <c r="A46" t="s">
        <v>116</v>
      </c>
      <c r="B46" t="s">
        <v>117</v>
      </c>
      <c r="C46" t="s">
        <v>118</v>
      </c>
      <c r="D46" t="s">
        <v>119</v>
      </c>
      <c r="E46" t="s">
        <v>21</v>
      </c>
      <c r="F46" t="s">
        <v>120</v>
      </c>
      <c r="G46" t="s">
        <v>21</v>
      </c>
      <c r="H46" t="s">
        <v>46</v>
      </c>
      <c r="I46" t="s">
        <v>29</v>
      </c>
      <c r="J46" s="1">
        <v>79002060</v>
      </c>
      <c r="K46" t="s">
        <v>21</v>
      </c>
      <c r="L46" t="s">
        <v>48</v>
      </c>
      <c r="M46" s="1">
        <v>3</v>
      </c>
      <c r="N46" s="4">
        <v>42500</v>
      </c>
      <c r="O46" s="2">
        <v>367.97</v>
      </c>
      <c r="P46" s="2">
        <v>880.18</v>
      </c>
      <c r="Q46" s="2">
        <v>0</v>
      </c>
      <c r="R46" s="2">
        <f t="shared" si="19"/>
        <v>1248.1500000000001</v>
      </c>
      <c r="S46" t="s">
        <v>31</v>
      </c>
      <c r="T46" t="s">
        <v>0</v>
      </c>
      <c r="U46" s="5">
        <f t="shared" ca="1" si="1"/>
        <v>3590</v>
      </c>
      <c r="V46" s="37">
        <f t="shared" ca="1" si="0"/>
        <v>0</v>
      </c>
      <c r="W46" s="38">
        <f t="shared" ca="1" si="2"/>
        <v>367.97</v>
      </c>
      <c r="X46" s="38">
        <f t="shared" ca="1" si="3"/>
        <v>331.17300000000006</v>
      </c>
      <c r="Y46" s="39">
        <f t="shared" ca="1" si="20"/>
        <v>165.58650000000003</v>
      </c>
      <c r="Z46" s="39">
        <f t="shared" ca="1" si="5"/>
        <v>202.3835</v>
      </c>
      <c r="AA46" s="40" t="str">
        <f t="shared" ca="1" si="6"/>
        <v>R$ 50,60 x 4 Parcelas</v>
      </c>
      <c r="AC46" s="17">
        <f t="shared" si="7"/>
        <v>880.18</v>
      </c>
      <c r="AD46" s="17">
        <f t="shared" si="8"/>
        <v>1248.1500000000001</v>
      </c>
      <c r="AE46" s="17">
        <f t="shared" ca="1" si="9"/>
        <v>1060.9275</v>
      </c>
      <c r="AF46" s="17">
        <f t="shared" ca="1" si="10"/>
        <v>873.70500000000004</v>
      </c>
      <c r="AG46" s="17">
        <f t="shared" ca="1" si="11"/>
        <v>374.44500000000005</v>
      </c>
      <c r="AH46" s="15" t="str">
        <f t="shared" ca="1" si="12"/>
        <v>R$ 93,61 x 4 Parcelas</v>
      </c>
      <c r="AJ46" s="41">
        <f t="shared" si="13"/>
        <v>880.18</v>
      </c>
      <c r="AK46" s="42">
        <f t="shared" si="14"/>
        <v>1248.1500000000001</v>
      </c>
      <c r="AL46" s="43">
        <f t="shared" ca="1" si="15"/>
        <v>1123.335</v>
      </c>
      <c r="AM46" s="43">
        <f t="shared" ca="1" si="16"/>
        <v>748.89</v>
      </c>
      <c r="AN46" s="43">
        <f t="shared" ca="1" si="17"/>
        <v>243.15500000000009</v>
      </c>
      <c r="AO46" s="44" t="str">
        <f t="shared" ca="1" si="18"/>
        <v>R$ 60,79 x 4 Parcelas</v>
      </c>
    </row>
    <row r="47" spans="1:41" x14ac:dyDescent="0.3">
      <c r="A47" t="s">
        <v>130</v>
      </c>
      <c r="B47" t="s">
        <v>131</v>
      </c>
      <c r="C47" t="s">
        <v>132</v>
      </c>
      <c r="D47" t="s">
        <v>133</v>
      </c>
      <c r="E47" t="s">
        <v>21</v>
      </c>
      <c r="F47" t="s">
        <v>134</v>
      </c>
      <c r="G47" s="1">
        <v>1965</v>
      </c>
      <c r="H47" t="s">
        <v>135</v>
      </c>
      <c r="I47" t="s">
        <v>29</v>
      </c>
      <c r="J47" t="s">
        <v>136</v>
      </c>
      <c r="K47" t="s">
        <v>21</v>
      </c>
      <c r="L47" t="s">
        <v>48</v>
      </c>
      <c r="M47" s="1">
        <v>1</v>
      </c>
      <c r="N47" s="4">
        <v>42526</v>
      </c>
      <c r="O47" s="2">
        <v>381.01</v>
      </c>
      <c r="P47" s="2">
        <v>904.52</v>
      </c>
      <c r="Q47" s="2">
        <v>0</v>
      </c>
      <c r="R47" s="2">
        <f t="shared" si="19"/>
        <v>1285.53</v>
      </c>
      <c r="S47" t="s">
        <v>31</v>
      </c>
      <c r="T47" t="s">
        <v>0</v>
      </c>
      <c r="U47" s="5">
        <f t="shared" ca="1" si="1"/>
        <v>3564</v>
      </c>
      <c r="V47" s="37">
        <f t="shared" ca="1" si="0"/>
        <v>0</v>
      </c>
      <c r="W47" s="38">
        <f t="shared" ca="1" si="2"/>
        <v>381.01</v>
      </c>
      <c r="X47" s="38">
        <f t="shared" ca="1" si="3"/>
        <v>342.90899999999999</v>
      </c>
      <c r="Y47" s="39">
        <f t="shared" ca="1" si="20"/>
        <v>171.4545</v>
      </c>
      <c r="Z47" s="39">
        <f t="shared" ca="1" si="5"/>
        <v>209.55549999999999</v>
      </c>
      <c r="AA47" s="40" t="str">
        <f t="shared" ca="1" si="6"/>
        <v>R$ 52,39 x 4 Parcelas</v>
      </c>
      <c r="AC47" s="17">
        <f t="shared" si="7"/>
        <v>904.52</v>
      </c>
      <c r="AD47" s="17">
        <f t="shared" si="8"/>
        <v>1285.53</v>
      </c>
      <c r="AE47" s="17">
        <f t="shared" ca="1" si="9"/>
        <v>1092.7004999999999</v>
      </c>
      <c r="AF47" s="17">
        <f t="shared" ca="1" si="10"/>
        <v>899.87099999999987</v>
      </c>
      <c r="AG47" s="17">
        <f t="shared" ca="1" si="11"/>
        <v>385.65900000000011</v>
      </c>
      <c r="AH47" s="15" t="str">
        <f t="shared" ca="1" si="12"/>
        <v>R$ 96,41 x 4 Parcelas</v>
      </c>
      <c r="AJ47" s="41">
        <f t="shared" si="13"/>
        <v>904.52</v>
      </c>
      <c r="AK47" s="42">
        <f t="shared" si="14"/>
        <v>1285.53</v>
      </c>
      <c r="AL47" s="43">
        <f t="shared" ca="1" si="15"/>
        <v>1156.9770000000001</v>
      </c>
      <c r="AM47" s="43">
        <f t="shared" ca="1" si="16"/>
        <v>771.31799999999998</v>
      </c>
      <c r="AN47" s="43">
        <f t="shared" ca="1" si="17"/>
        <v>252.45700000000011</v>
      </c>
      <c r="AO47" s="44" t="str">
        <f t="shared" ca="1" si="18"/>
        <v>R$ 63,11 x 4 Parcelas</v>
      </c>
    </row>
    <row r="48" spans="1:41" x14ac:dyDescent="0.3">
      <c r="A48" t="s">
        <v>137</v>
      </c>
      <c r="B48" t="s">
        <v>138</v>
      </c>
      <c r="C48" t="s">
        <v>139</v>
      </c>
      <c r="D48" t="s">
        <v>36</v>
      </c>
      <c r="E48" t="s">
        <v>140</v>
      </c>
      <c r="F48" t="s">
        <v>141</v>
      </c>
      <c r="G48" s="1">
        <v>170</v>
      </c>
      <c r="H48" t="s">
        <v>142</v>
      </c>
      <c r="I48" t="s">
        <v>29</v>
      </c>
      <c r="J48" s="1">
        <v>79090291</v>
      </c>
      <c r="K48" t="s">
        <v>21</v>
      </c>
      <c r="L48" t="s">
        <v>30</v>
      </c>
      <c r="M48" s="1">
        <v>5</v>
      </c>
      <c r="N48" s="4">
        <v>42526</v>
      </c>
      <c r="O48" s="2">
        <v>62</v>
      </c>
      <c r="P48" s="2">
        <v>147.19</v>
      </c>
      <c r="Q48" s="2">
        <v>0</v>
      </c>
      <c r="R48" s="2">
        <f t="shared" si="19"/>
        <v>209.19</v>
      </c>
      <c r="S48" t="s">
        <v>31</v>
      </c>
      <c r="T48" t="s">
        <v>32</v>
      </c>
      <c r="U48" s="5">
        <f t="shared" ca="1" si="1"/>
        <v>3564</v>
      </c>
      <c r="V48" s="37">
        <f t="shared" ca="1" si="0"/>
        <v>0</v>
      </c>
      <c r="W48" s="38">
        <f t="shared" ca="1" si="2"/>
        <v>62</v>
      </c>
      <c r="X48" s="38">
        <f t="shared" ca="1" si="3"/>
        <v>55.800000000000004</v>
      </c>
      <c r="Y48" s="39">
        <f t="shared" ca="1" si="20"/>
        <v>27.900000000000002</v>
      </c>
      <c r="Z48" s="39">
        <f t="shared" ca="1" si="5"/>
        <v>34.099999999999994</v>
      </c>
      <c r="AA48" s="40" t="str">
        <f t="shared" ca="1" si="6"/>
        <v>R$ 8,53 x 4 Parcelas</v>
      </c>
      <c r="AC48" s="17">
        <f t="shared" si="7"/>
        <v>147.19</v>
      </c>
      <c r="AD48" s="17">
        <f t="shared" si="8"/>
        <v>209.19</v>
      </c>
      <c r="AE48" s="17">
        <f t="shared" ca="1" si="9"/>
        <v>177.8115</v>
      </c>
      <c r="AF48" s="17">
        <f t="shared" ca="1" si="10"/>
        <v>146.43299999999999</v>
      </c>
      <c r="AG48" s="17">
        <f t="shared" ca="1" si="11"/>
        <v>62.757000000000005</v>
      </c>
      <c r="AH48" s="15" t="str">
        <f t="shared" ca="1" si="12"/>
        <v>R$ 15,69 x 4 Parcelas</v>
      </c>
      <c r="AJ48" s="41">
        <f t="shared" si="13"/>
        <v>147.19</v>
      </c>
      <c r="AK48" s="42">
        <f t="shared" si="14"/>
        <v>209.19</v>
      </c>
      <c r="AL48" s="43">
        <f t="shared" ca="1" si="15"/>
        <v>188.27100000000002</v>
      </c>
      <c r="AM48" s="43">
        <f t="shared" ca="1" si="16"/>
        <v>125.514</v>
      </c>
      <c r="AN48" s="43">
        <f t="shared" ca="1" si="17"/>
        <v>41.081000000000017</v>
      </c>
      <c r="AO48" s="44" t="str">
        <f t="shared" ca="1" si="18"/>
        <v>R$ 10,27 x 4 Parcelas</v>
      </c>
    </row>
    <row r="49" spans="1:41" x14ac:dyDescent="0.3">
      <c r="A49" t="s">
        <v>143</v>
      </c>
      <c r="B49" t="s">
        <v>21</v>
      </c>
      <c r="C49" t="s">
        <v>144</v>
      </c>
      <c r="D49" t="s">
        <v>36</v>
      </c>
      <c r="E49" t="s">
        <v>21</v>
      </c>
      <c r="F49" t="s">
        <v>145</v>
      </c>
      <c r="G49" s="1">
        <v>25</v>
      </c>
      <c r="H49" t="s">
        <v>146</v>
      </c>
      <c r="I49" t="s">
        <v>29</v>
      </c>
      <c r="J49" s="1">
        <v>79022066</v>
      </c>
      <c r="K49" t="s">
        <v>21</v>
      </c>
      <c r="L49" t="s">
        <v>30</v>
      </c>
      <c r="M49" s="1">
        <v>4</v>
      </c>
      <c r="N49" s="4">
        <v>42531</v>
      </c>
      <c r="O49" s="2">
        <v>66.5</v>
      </c>
      <c r="P49" s="2">
        <v>157.69</v>
      </c>
      <c r="Q49" s="2">
        <v>0</v>
      </c>
      <c r="R49" s="2">
        <f t="shared" si="19"/>
        <v>224.19</v>
      </c>
      <c r="S49" t="s">
        <v>31</v>
      </c>
      <c r="T49" t="s">
        <v>32</v>
      </c>
      <c r="U49" s="5">
        <f t="shared" ca="1" si="1"/>
        <v>3559</v>
      </c>
      <c r="V49" s="37">
        <f t="shared" ca="1" si="0"/>
        <v>0</v>
      </c>
      <c r="W49" s="38">
        <f t="shared" ca="1" si="2"/>
        <v>66.5</v>
      </c>
      <c r="X49" s="38">
        <f t="shared" ca="1" si="3"/>
        <v>59.85</v>
      </c>
      <c r="Y49" s="39">
        <f t="shared" ca="1" si="20"/>
        <v>29.925000000000001</v>
      </c>
      <c r="Z49" s="39">
        <f t="shared" ca="1" si="5"/>
        <v>36.575000000000003</v>
      </c>
      <c r="AA49" s="40" t="str">
        <f t="shared" ca="1" si="6"/>
        <v>R$ 9,14 x 4 Parcelas</v>
      </c>
      <c r="AC49" s="17">
        <f t="shared" si="7"/>
        <v>157.69</v>
      </c>
      <c r="AD49" s="17">
        <f t="shared" si="8"/>
        <v>224.19</v>
      </c>
      <c r="AE49" s="17">
        <f t="shared" ca="1" si="9"/>
        <v>190.5615</v>
      </c>
      <c r="AF49" s="17">
        <f t="shared" ca="1" si="10"/>
        <v>156.93299999999999</v>
      </c>
      <c r="AG49" s="17">
        <f t="shared" ca="1" si="11"/>
        <v>67.257000000000005</v>
      </c>
      <c r="AH49" s="15" t="str">
        <f t="shared" ca="1" si="12"/>
        <v>R$ 16,81 x 4 Parcelas</v>
      </c>
      <c r="AJ49" s="41">
        <f t="shared" si="13"/>
        <v>157.69</v>
      </c>
      <c r="AK49" s="42">
        <f t="shared" si="14"/>
        <v>224.19</v>
      </c>
      <c r="AL49" s="43">
        <f t="shared" ca="1" si="15"/>
        <v>201.77100000000002</v>
      </c>
      <c r="AM49" s="43">
        <f t="shared" ca="1" si="16"/>
        <v>134.51399999999998</v>
      </c>
      <c r="AN49" s="43">
        <f t="shared" ca="1" si="17"/>
        <v>44.081000000000017</v>
      </c>
      <c r="AO49" s="44" t="str">
        <f t="shared" ca="1" si="18"/>
        <v>R$ 11,02 x 4 Parcelas</v>
      </c>
    </row>
    <row r="50" spans="1:41" x14ac:dyDescent="0.3">
      <c r="A50" t="s">
        <v>143</v>
      </c>
      <c r="B50" t="s">
        <v>21</v>
      </c>
      <c r="C50" t="s">
        <v>144</v>
      </c>
      <c r="D50" t="s">
        <v>36</v>
      </c>
      <c r="E50" t="s">
        <v>21</v>
      </c>
      <c r="F50" t="s">
        <v>145</v>
      </c>
      <c r="G50" s="1">
        <v>25</v>
      </c>
      <c r="H50" t="s">
        <v>146</v>
      </c>
      <c r="I50" t="s">
        <v>29</v>
      </c>
      <c r="J50" s="1">
        <v>79022066</v>
      </c>
      <c r="K50" t="s">
        <v>21</v>
      </c>
      <c r="L50" t="s">
        <v>30</v>
      </c>
      <c r="M50" s="1">
        <v>1</v>
      </c>
      <c r="N50" s="4">
        <v>42531</v>
      </c>
      <c r="O50" s="2">
        <v>52.75</v>
      </c>
      <c r="P50" s="2">
        <v>125.09</v>
      </c>
      <c r="Q50" s="2">
        <v>0</v>
      </c>
      <c r="R50" s="2">
        <f t="shared" si="19"/>
        <v>177.84</v>
      </c>
      <c r="S50" t="s">
        <v>31</v>
      </c>
      <c r="T50" t="s">
        <v>32</v>
      </c>
      <c r="U50" s="5">
        <f t="shared" ca="1" si="1"/>
        <v>3559</v>
      </c>
      <c r="V50" s="37">
        <f t="shared" ca="1" si="0"/>
        <v>0</v>
      </c>
      <c r="W50" s="38">
        <f t="shared" ca="1" si="2"/>
        <v>52.75</v>
      </c>
      <c r="X50" s="38">
        <f t="shared" ca="1" si="3"/>
        <v>47.475000000000001</v>
      </c>
      <c r="Y50" s="39">
        <f t="shared" ca="1" si="20"/>
        <v>23.737500000000001</v>
      </c>
      <c r="Z50" s="39">
        <f t="shared" ca="1" si="5"/>
        <v>29.012499999999999</v>
      </c>
      <c r="AA50" s="40" t="str">
        <f t="shared" ca="1" si="6"/>
        <v>R$ 7,25 x 4 Parcelas</v>
      </c>
      <c r="AC50" s="17">
        <f t="shared" si="7"/>
        <v>125.09</v>
      </c>
      <c r="AD50" s="17">
        <f t="shared" si="8"/>
        <v>177.84</v>
      </c>
      <c r="AE50" s="17">
        <f t="shared" ca="1" si="9"/>
        <v>151.16399999999999</v>
      </c>
      <c r="AF50" s="17">
        <f t="shared" ca="1" si="10"/>
        <v>124.488</v>
      </c>
      <c r="AG50" s="17">
        <f t="shared" ca="1" si="11"/>
        <v>53.352000000000004</v>
      </c>
      <c r="AH50" s="15" t="str">
        <f t="shared" ca="1" si="12"/>
        <v>R$ 13,34 x 4 Parcelas</v>
      </c>
      <c r="AJ50" s="41">
        <f t="shared" si="13"/>
        <v>125.09</v>
      </c>
      <c r="AK50" s="42">
        <f t="shared" si="14"/>
        <v>177.84</v>
      </c>
      <c r="AL50" s="43">
        <f t="shared" ca="1" si="15"/>
        <v>160.05600000000001</v>
      </c>
      <c r="AM50" s="43">
        <f t="shared" ca="1" si="16"/>
        <v>106.70399999999999</v>
      </c>
      <c r="AN50" s="43">
        <f t="shared" ca="1" si="17"/>
        <v>34.966000000000008</v>
      </c>
      <c r="AO50" s="44" t="str">
        <f t="shared" ca="1" si="18"/>
        <v>R$ 8,74 x 4 Parcelas</v>
      </c>
    </row>
    <row r="51" spans="1:41" x14ac:dyDescent="0.3">
      <c r="A51" t="s">
        <v>116</v>
      </c>
      <c r="B51" t="s">
        <v>117</v>
      </c>
      <c r="C51" t="s">
        <v>118</v>
      </c>
      <c r="D51" t="s">
        <v>119</v>
      </c>
      <c r="E51" t="s">
        <v>21</v>
      </c>
      <c r="F51" t="s">
        <v>120</v>
      </c>
      <c r="G51" t="s">
        <v>21</v>
      </c>
      <c r="H51" t="s">
        <v>46</v>
      </c>
      <c r="I51" t="s">
        <v>29</v>
      </c>
      <c r="J51" s="1">
        <v>79002060</v>
      </c>
      <c r="K51" t="s">
        <v>21</v>
      </c>
      <c r="L51" t="s">
        <v>48</v>
      </c>
      <c r="M51" s="1">
        <v>4</v>
      </c>
      <c r="N51" s="4">
        <v>42531</v>
      </c>
      <c r="O51" s="2">
        <v>367.97</v>
      </c>
      <c r="P51" s="2">
        <v>872.58</v>
      </c>
      <c r="Q51" s="2">
        <v>0</v>
      </c>
      <c r="R51" s="2">
        <f t="shared" si="19"/>
        <v>1240.5500000000002</v>
      </c>
      <c r="S51" t="s">
        <v>31</v>
      </c>
      <c r="T51" t="s">
        <v>0</v>
      </c>
      <c r="U51" s="5">
        <f t="shared" ca="1" si="1"/>
        <v>3559</v>
      </c>
      <c r="V51" s="37">
        <f t="shared" ca="1" si="0"/>
        <v>0</v>
      </c>
      <c r="W51" s="38">
        <f t="shared" ca="1" si="2"/>
        <v>367.97</v>
      </c>
      <c r="X51" s="38">
        <f t="shared" ca="1" si="3"/>
        <v>331.17300000000006</v>
      </c>
      <c r="Y51" s="39">
        <f t="shared" ca="1" si="20"/>
        <v>165.58650000000003</v>
      </c>
      <c r="Z51" s="39">
        <f t="shared" ca="1" si="5"/>
        <v>202.3835</v>
      </c>
      <c r="AA51" s="40" t="str">
        <f t="shared" ca="1" si="6"/>
        <v>R$ 50,60 x 4 Parcelas</v>
      </c>
      <c r="AC51" s="17">
        <f t="shared" si="7"/>
        <v>872.58</v>
      </c>
      <c r="AD51" s="17">
        <f t="shared" si="8"/>
        <v>1240.5500000000002</v>
      </c>
      <c r="AE51" s="17">
        <f t="shared" ca="1" si="9"/>
        <v>1054.4675000000002</v>
      </c>
      <c r="AF51" s="17">
        <f t="shared" ca="1" si="10"/>
        <v>868.3850000000001</v>
      </c>
      <c r="AG51" s="17">
        <f t="shared" ca="1" si="11"/>
        <v>372.16500000000008</v>
      </c>
      <c r="AH51" s="15" t="str">
        <f t="shared" ca="1" si="12"/>
        <v>R$ 93,04 x 4 Parcelas</v>
      </c>
      <c r="AJ51" s="41">
        <f t="shared" si="13"/>
        <v>872.58</v>
      </c>
      <c r="AK51" s="42">
        <f t="shared" si="14"/>
        <v>1240.5500000000002</v>
      </c>
      <c r="AL51" s="43">
        <f t="shared" ca="1" si="15"/>
        <v>1116.4950000000001</v>
      </c>
      <c r="AM51" s="43">
        <f t="shared" ca="1" si="16"/>
        <v>744.33</v>
      </c>
      <c r="AN51" s="43">
        <f t="shared" ca="1" si="17"/>
        <v>243.91500000000008</v>
      </c>
      <c r="AO51" s="44" t="str">
        <f t="shared" ca="1" si="18"/>
        <v>R$ 60,98 x 4 Parcelas</v>
      </c>
    </row>
    <row r="52" spans="1:41" x14ac:dyDescent="0.3">
      <c r="A52" t="s">
        <v>143</v>
      </c>
      <c r="B52" t="s">
        <v>21</v>
      </c>
      <c r="C52" t="s">
        <v>144</v>
      </c>
      <c r="D52" t="s">
        <v>36</v>
      </c>
      <c r="E52" t="s">
        <v>21</v>
      </c>
      <c r="F52" t="s">
        <v>145</v>
      </c>
      <c r="G52" s="1">
        <v>25</v>
      </c>
      <c r="H52" t="s">
        <v>146</v>
      </c>
      <c r="I52" t="s">
        <v>29</v>
      </c>
      <c r="J52" s="1">
        <v>79022066</v>
      </c>
      <c r="K52" t="s">
        <v>21</v>
      </c>
      <c r="L52" t="s">
        <v>30</v>
      </c>
      <c r="M52" s="1">
        <v>4</v>
      </c>
      <c r="N52" s="4">
        <v>42531</v>
      </c>
      <c r="O52" s="2">
        <v>295.3</v>
      </c>
      <c r="P52" s="2">
        <v>700.25</v>
      </c>
      <c r="Q52" s="2">
        <v>0</v>
      </c>
      <c r="R52" s="2">
        <f t="shared" si="19"/>
        <v>995.55</v>
      </c>
      <c r="S52" t="s">
        <v>31</v>
      </c>
      <c r="T52" t="s">
        <v>0</v>
      </c>
      <c r="U52" s="5">
        <f t="shared" ca="1" si="1"/>
        <v>3559</v>
      </c>
      <c r="V52" s="37">
        <f t="shared" ca="1" si="0"/>
        <v>0</v>
      </c>
      <c r="W52" s="38">
        <f t="shared" ca="1" si="2"/>
        <v>295.3</v>
      </c>
      <c r="X52" s="38">
        <f t="shared" ca="1" si="3"/>
        <v>265.77000000000004</v>
      </c>
      <c r="Y52" s="39">
        <f t="shared" ca="1" si="20"/>
        <v>132.88500000000002</v>
      </c>
      <c r="Z52" s="39">
        <f t="shared" ca="1" si="5"/>
        <v>162.41499999999999</v>
      </c>
      <c r="AA52" s="40" t="str">
        <f t="shared" ca="1" si="6"/>
        <v>R$ 40,60 x 4 Parcelas</v>
      </c>
      <c r="AC52" s="17">
        <f t="shared" si="7"/>
        <v>700.25</v>
      </c>
      <c r="AD52" s="17">
        <f t="shared" si="8"/>
        <v>995.55</v>
      </c>
      <c r="AE52" s="17">
        <f t="shared" ca="1" si="9"/>
        <v>846.21749999999997</v>
      </c>
      <c r="AF52" s="17">
        <f t="shared" ca="1" si="10"/>
        <v>696.88499999999988</v>
      </c>
      <c r="AG52" s="17">
        <f t="shared" ca="1" si="11"/>
        <v>298.66500000000008</v>
      </c>
      <c r="AH52" s="15" t="str">
        <f t="shared" ca="1" si="12"/>
        <v>R$ 74,67 x 4 Parcelas</v>
      </c>
      <c r="AJ52" s="41">
        <f t="shared" si="13"/>
        <v>700.25</v>
      </c>
      <c r="AK52" s="42">
        <f t="shared" si="14"/>
        <v>995.55</v>
      </c>
      <c r="AL52" s="43">
        <f t="shared" ca="1" si="15"/>
        <v>895.995</v>
      </c>
      <c r="AM52" s="43">
        <f t="shared" ca="1" si="16"/>
        <v>597.32999999999993</v>
      </c>
      <c r="AN52" s="43">
        <f t="shared" ca="1" si="17"/>
        <v>195.745</v>
      </c>
      <c r="AO52" s="44" t="str">
        <f t="shared" ca="1" si="18"/>
        <v>R$ 48,94 x 4 Parcelas</v>
      </c>
    </row>
    <row r="53" spans="1:41" x14ac:dyDescent="0.3">
      <c r="A53" t="s">
        <v>147</v>
      </c>
      <c r="B53" t="s">
        <v>148</v>
      </c>
      <c r="C53" t="s">
        <v>149</v>
      </c>
      <c r="D53" t="s">
        <v>150</v>
      </c>
      <c r="E53" t="s">
        <v>21</v>
      </c>
      <c r="F53" t="s">
        <v>151</v>
      </c>
      <c r="G53" s="1">
        <v>1439</v>
      </c>
      <c r="H53" t="s">
        <v>152</v>
      </c>
      <c r="I53" t="s">
        <v>29</v>
      </c>
      <c r="J53" t="s">
        <v>153</v>
      </c>
      <c r="K53" t="s">
        <v>21</v>
      </c>
      <c r="L53" t="s">
        <v>48</v>
      </c>
      <c r="M53" s="1">
        <v>1</v>
      </c>
      <c r="N53" s="4">
        <v>42556</v>
      </c>
      <c r="O53" s="2">
        <v>305.77</v>
      </c>
      <c r="P53" s="2">
        <v>719.99</v>
      </c>
      <c r="Q53" s="2">
        <v>0</v>
      </c>
      <c r="R53" s="2">
        <f t="shared" si="19"/>
        <v>1025.76</v>
      </c>
      <c r="S53" t="s">
        <v>31</v>
      </c>
      <c r="T53" t="s">
        <v>0</v>
      </c>
      <c r="U53" s="5">
        <f t="shared" ca="1" si="1"/>
        <v>3534</v>
      </c>
      <c r="V53" s="37">
        <f t="shared" ca="1" si="0"/>
        <v>0</v>
      </c>
      <c r="W53" s="38">
        <f t="shared" ca="1" si="2"/>
        <v>305.77</v>
      </c>
      <c r="X53" s="38">
        <f t="shared" ca="1" si="3"/>
        <v>275.19299999999998</v>
      </c>
      <c r="Y53" s="39">
        <f t="shared" ca="1" si="20"/>
        <v>137.59649999999999</v>
      </c>
      <c r="Z53" s="39">
        <f t="shared" ca="1" si="5"/>
        <v>168.17349999999999</v>
      </c>
      <c r="AA53" s="40" t="str">
        <f t="shared" ca="1" si="6"/>
        <v>R$ 42,04 x 4 Parcelas</v>
      </c>
      <c r="AC53" s="17">
        <f t="shared" si="7"/>
        <v>719.99</v>
      </c>
      <c r="AD53" s="17">
        <f t="shared" si="8"/>
        <v>1025.76</v>
      </c>
      <c r="AE53" s="17">
        <f t="shared" ca="1" si="9"/>
        <v>871.89599999999996</v>
      </c>
      <c r="AF53" s="17">
        <f t="shared" ca="1" si="10"/>
        <v>718.03199999999993</v>
      </c>
      <c r="AG53" s="17">
        <f t="shared" ca="1" si="11"/>
        <v>307.72800000000007</v>
      </c>
      <c r="AH53" s="15" t="str">
        <f t="shared" ca="1" si="12"/>
        <v>R$ 76,93 x 4 Parcelas</v>
      </c>
      <c r="AJ53" s="41">
        <f t="shared" si="13"/>
        <v>719.99</v>
      </c>
      <c r="AK53" s="42">
        <f t="shared" si="14"/>
        <v>1025.76</v>
      </c>
      <c r="AL53" s="43">
        <f t="shared" ca="1" si="15"/>
        <v>923.18399999999997</v>
      </c>
      <c r="AM53" s="43">
        <f t="shared" ca="1" si="16"/>
        <v>615.45600000000002</v>
      </c>
      <c r="AN53" s="43">
        <f t="shared" ca="1" si="17"/>
        <v>203.19399999999996</v>
      </c>
      <c r="AO53" s="44" t="str">
        <f t="shared" ca="1" si="18"/>
        <v>R$ 50,80 x 4 Parcelas</v>
      </c>
    </row>
    <row r="54" spans="1:41" x14ac:dyDescent="0.3">
      <c r="A54" t="s">
        <v>137</v>
      </c>
      <c r="B54" t="s">
        <v>138</v>
      </c>
      <c r="C54" t="s">
        <v>139</v>
      </c>
      <c r="D54" t="s">
        <v>36</v>
      </c>
      <c r="E54" t="s">
        <v>140</v>
      </c>
      <c r="F54" t="s">
        <v>141</v>
      </c>
      <c r="G54" s="1">
        <v>170</v>
      </c>
      <c r="H54" t="s">
        <v>142</v>
      </c>
      <c r="I54" t="s">
        <v>29</v>
      </c>
      <c r="J54" s="1">
        <v>79090291</v>
      </c>
      <c r="K54" t="s">
        <v>21</v>
      </c>
      <c r="L54" t="s">
        <v>30</v>
      </c>
      <c r="M54" s="1">
        <v>6</v>
      </c>
      <c r="N54" s="4">
        <v>42556</v>
      </c>
      <c r="O54" s="2">
        <v>62</v>
      </c>
      <c r="P54" s="2">
        <v>145.99</v>
      </c>
      <c r="Q54" s="2">
        <v>0</v>
      </c>
      <c r="R54" s="2">
        <f t="shared" si="19"/>
        <v>207.99</v>
      </c>
      <c r="S54" t="s">
        <v>31</v>
      </c>
      <c r="T54" t="s">
        <v>32</v>
      </c>
      <c r="U54" s="5">
        <f t="shared" ca="1" si="1"/>
        <v>3534</v>
      </c>
      <c r="V54" s="37">
        <f t="shared" ca="1" si="0"/>
        <v>0</v>
      </c>
      <c r="W54" s="38">
        <f t="shared" ca="1" si="2"/>
        <v>62</v>
      </c>
      <c r="X54" s="38">
        <f t="shared" ca="1" si="3"/>
        <v>55.800000000000004</v>
      </c>
      <c r="Y54" s="39">
        <f t="shared" ca="1" si="20"/>
        <v>27.900000000000002</v>
      </c>
      <c r="Z54" s="39">
        <f t="shared" ca="1" si="5"/>
        <v>34.099999999999994</v>
      </c>
      <c r="AA54" s="40" t="str">
        <f t="shared" ca="1" si="6"/>
        <v>R$ 8,53 x 4 Parcelas</v>
      </c>
      <c r="AC54" s="17">
        <f t="shared" si="7"/>
        <v>145.99</v>
      </c>
      <c r="AD54" s="17">
        <f t="shared" si="8"/>
        <v>207.99</v>
      </c>
      <c r="AE54" s="17">
        <f t="shared" ca="1" si="9"/>
        <v>176.79150000000001</v>
      </c>
      <c r="AF54" s="17">
        <f t="shared" ca="1" si="10"/>
        <v>145.59299999999999</v>
      </c>
      <c r="AG54" s="17">
        <f t="shared" ca="1" si="11"/>
        <v>62.39700000000002</v>
      </c>
      <c r="AH54" s="15" t="str">
        <f t="shared" ca="1" si="12"/>
        <v>R$ 15,60 x 4 Parcelas</v>
      </c>
      <c r="AJ54" s="41">
        <f t="shared" si="13"/>
        <v>145.99</v>
      </c>
      <c r="AK54" s="42">
        <f t="shared" si="14"/>
        <v>207.99</v>
      </c>
      <c r="AL54" s="43">
        <f t="shared" ca="1" si="15"/>
        <v>187.191</v>
      </c>
      <c r="AM54" s="43">
        <f t="shared" ca="1" si="16"/>
        <v>124.794</v>
      </c>
      <c r="AN54" s="43">
        <f t="shared" ca="1" si="17"/>
        <v>41.200999999999993</v>
      </c>
      <c r="AO54" s="44" t="str">
        <f t="shared" ca="1" si="18"/>
        <v>R$ 10,30 x 4 Parcelas</v>
      </c>
    </row>
    <row r="55" spans="1:41" x14ac:dyDescent="0.3">
      <c r="A55" t="s">
        <v>147</v>
      </c>
      <c r="B55" t="s">
        <v>148</v>
      </c>
      <c r="C55" t="s">
        <v>149</v>
      </c>
      <c r="D55" t="s">
        <v>150</v>
      </c>
      <c r="E55" t="s">
        <v>21</v>
      </c>
      <c r="F55" t="s">
        <v>151</v>
      </c>
      <c r="G55" s="1">
        <v>1439</v>
      </c>
      <c r="H55" t="s">
        <v>152</v>
      </c>
      <c r="I55" t="s">
        <v>29</v>
      </c>
      <c r="J55" t="s">
        <v>153</v>
      </c>
      <c r="K55" t="s">
        <v>21</v>
      </c>
      <c r="L55" t="s">
        <v>48</v>
      </c>
      <c r="M55" s="1">
        <v>1</v>
      </c>
      <c r="N55" s="4">
        <v>42556</v>
      </c>
      <c r="O55" s="2">
        <v>62</v>
      </c>
      <c r="P55" s="2">
        <v>145.99</v>
      </c>
      <c r="Q55" s="2">
        <v>0</v>
      </c>
      <c r="R55" s="2">
        <f t="shared" si="19"/>
        <v>207.99</v>
      </c>
      <c r="S55" t="s">
        <v>31</v>
      </c>
      <c r="T55" t="s">
        <v>32</v>
      </c>
      <c r="U55" s="5">
        <f t="shared" ca="1" si="1"/>
        <v>3534</v>
      </c>
      <c r="V55" s="37">
        <f t="shared" ca="1" si="0"/>
        <v>0</v>
      </c>
      <c r="W55" s="38">
        <f t="shared" ca="1" si="2"/>
        <v>62</v>
      </c>
      <c r="X55" s="38">
        <f t="shared" ca="1" si="3"/>
        <v>55.800000000000004</v>
      </c>
      <c r="Y55" s="39">
        <f t="shared" ca="1" si="20"/>
        <v>27.900000000000002</v>
      </c>
      <c r="Z55" s="39">
        <f t="shared" ca="1" si="5"/>
        <v>34.099999999999994</v>
      </c>
      <c r="AA55" s="40" t="str">
        <f t="shared" ca="1" si="6"/>
        <v>R$ 8,53 x 4 Parcelas</v>
      </c>
      <c r="AC55" s="17">
        <f t="shared" si="7"/>
        <v>145.99</v>
      </c>
      <c r="AD55" s="17">
        <f t="shared" si="8"/>
        <v>207.99</v>
      </c>
      <c r="AE55" s="17">
        <f t="shared" ca="1" si="9"/>
        <v>176.79150000000001</v>
      </c>
      <c r="AF55" s="17">
        <f t="shared" ca="1" si="10"/>
        <v>145.59299999999999</v>
      </c>
      <c r="AG55" s="17">
        <f t="shared" ca="1" si="11"/>
        <v>62.39700000000002</v>
      </c>
      <c r="AH55" s="15" t="str">
        <f t="shared" ca="1" si="12"/>
        <v>R$ 15,60 x 4 Parcelas</v>
      </c>
      <c r="AJ55" s="41">
        <f t="shared" si="13"/>
        <v>145.99</v>
      </c>
      <c r="AK55" s="42">
        <f t="shared" si="14"/>
        <v>207.99</v>
      </c>
      <c r="AL55" s="43">
        <f t="shared" ca="1" si="15"/>
        <v>187.191</v>
      </c>
      <c r="AM55" s="43">
        <f t="shared" ca="1" si="16"/>
        <v>124.794</v>
      </c>
      <c r="AN55" s="43">
        <f t="shared" ca="1" si="17"/>
        <v>41.200999999999993</v>
      </c>
      <c r="AO55" s="44" t="str">
        <f t="shared" ca="1" si="18"/>
        <v>R$ 10,30 x 4 Parcelas</v>
      </c>
    </row>
    <row r="56" spans="1:41" x14ac:dyDescent="0.3">
      <c r="A56" t="s">
        <v>143</v>
      </c>
      <c r="B56" t="s">
        <v>21</v>
      </c>
      <c r="C56" t="s">
        <v>144</v>
      </c>
      <c r="D56" t="s">
        <v>36</v>
      </c>
      <c r="E56" t="s">
        <v>21</v>
      </c>
      <c r="F56" t="s">
        <v>145</v>
      </c>
      <c r="G56" s="1">
        <v>25</v>
      </c>
      <c r="H56" t="s">
        <v>146</v>
      </c>
      <c r="I56" t="s">
        <v>29</v>
      </c>
      <c r="J56" s="1">
        <v>79022066</v>
      </c>
      <c r="K56" t="s">
        <v>21</v>
      </c>
      <c r="L56" t="s">
        <v>30</v>
      </c>
      <c r="M56" s="1">
        <v>5</v>
      </c>
      <c r="N56" s="4">
        <v>42561</v>
      </c>
      <c r="O56" s="2">
        <v>66.5</v>
      </c>
      <c r="P56" s="2">
        <v>156.32</v>
      </c>
      <c r="Q56" s="2">
        <v>0</v>
      </c>
      <c r="R56" s="2">
        <f t="shared" si="19"/>
        <v>222.82</v>
      </c>
      <c r="S56" t="s">
        <v>31</v>
      </c>
      <c r="T56" t="s">
        <v>32</v>
      </c>
      <c r="U56" s="5">
        <f t="shared" ca="1" si="1"/>
        <v>3529</v>
      </c>
      <c r="V56" s="37">
        <f t="shared" ca="1" si="0"/>
        <v>0</v>
      </c>
      <c r="W56" s="38">
        <f t="shared" ca="1" si="2"/>
        <v>66.5</v>
      </c>
      <c r="X56" s="38">
        <f t="shared" ca="1" si="3"/>
        <v>59.85</v>
      </c>
      <c r="Y56" s="39">
        <f t="shared" ca="1" si="20"/>
        <v>29.925000000000001</v>
      </c>
      <c r="Z56" s="39">
        <f t="shared" ca="1" si="5"/>
        <v>36.575000000000003</v>
      </c>
      <c r="AA56" s="40" t="str">
        <f t="shared" ca="1" si="6"/>
        <v>R$ 9,14 x 4 Parcelas</v>
      </c>
      <c r="AC56" s="17">
        <f t="shared" si="7"/>
        <v>156.32</v>
      </c>
      <c r="AD56" s="17">
        <f t="shared" si="8"/>
        <v>222.82</v>
      </c>
      <c r="AE56" s="17">
        <f t="shared" ca="1" si="9"/>
        <v>189.39699999999999</v>
      </c>
      <c r="AF56" s="17">
        <f t="shared" ca="1" si="10"/>
        <v>155.97399999999999</v>
      </c>
      <c r="AG56" s="17">
        <f t="shared" ca="1" si="11"/>
        <v>66.846000000000004</v>
      </c>
      <c r="AH56" s="15" t="str">
        <f t="shared" ca="1" si="12"/>
        <v>R$ 16,71 x 4 Parcelas</v>
      </c>
      <c r="AJ56" s="41">
        <f t="shared" si="13"/>
        <v>156.32</v>
      </c>
      <c r="AK56" s="42">
        <f t="shared" si="14"/>
        <v>222.82</v>
      </c>
      <c r="AL56" s="43">
        <f t="shared" ca="1" si="15"/>
        <v>200.53800000000001</v>
      </c>
      <c r="AM56" s="43">
        <f t="shared" ca="1" si="16"/>
        <v>133.69199999999998</v>
      </c>
      <c r="AN56" s="43">
        <f t="shared" ca="1" si="17"/>
        <v>44.218000000000018</v>
      </c>
      <c r="AO56" s="44" t="str">
        <f t="shared" ca="1" si="18"/>
        <v>R$ 11,05 x 4 Parcelas</v>
      </c>
    </row>
    <row r="57" spans="1:41" x14ac:dyDescent="0.3">
      <c r="A57" t="s">
        <v>154</v>
      </c>
      <c r="B57" t="s">
        <v>155</v>
      </c>
      <c r="C57" t="s">
        <v>156</v>
      </c>
      <c r="D57" t="s">
        <v>157</v>
      </c>
      <c r="E57" t="s">
        <v>158</v>
      </c>
      <c r="F57" t="s">
        <v>159</v>
      </c>
      <c r="G57" t="s">
        <v>21</v>
      </c>
      <c r="H57" t="s">
        <v>160</v>
      </c>
      <c r="I57" t="s">
        <v>29</v>
      </c>
      <c r="J57" s="1">
        <v>79040040</v>
      </c>
      <c r="K57" t="s">
        <v>161</v>
      </c>
      <c r="L57" t="s">
        <v>48</v>
      </c>
      <c r="M57" s="1">
        <v>6</v>
      </c>
      <c r="N57" s="4">
        <v>42561</v>
      </c>
      <c r="O57" s="2">
        <v>62</v>
      </c>
      <c r="P57" s="2">
        <v>145.74</v>
      </c>
      <c r="Q57" s="2">
        <v>0</v>
      </c>
      <c r="R57" s="2">
        <f t="shared" si="19"/>
        <v>207.74</v>
      </c>
      <c r="S57" t="s">
        <v>31</v>
      </c>
      <c r="T57" t="s">
        <v>32</v>
      </c>
      <c r="U57" s="5">
        <f t="shared" ca="1" si="1"/>
        <v>3529</v>
      </c>
      <c r="V57" s="37">
        <f t="shared" ca="1" si="0"/>
        <v>0</v>
      </c>
      <c r="W57" s="38">
        <f t="shared" ca="1" si="2"/>
        <v>62</v>
      </c>
      <c r="X57" s="38">
        <f t="shared" ca="1" si="3"/>
        <v>55.800000000000004</v>
      </c>
      <c r="Y57" s="39">
        <f t="shared" ca="1" si="20"/>
        <v>27.900000000000002</v>
      </c>
      <c r="Z57" s="39">
        <f t="shared" ca="1" si="5"/>
        <v>34.099999999999994</v>
      </c>
      <c r="AA57" s="40" t="str">
        <f t="shared" ca="1" si="6"/>
        <v>R$ 8,53 x 4 Parcelas</v>
      </c>
      <c r="AC57" s="17">
        <f t="shared" si="7"/>
        <v>145.74</v>
      </c>
      <c r="AD57" s="17">
        <f t="shared" si="8"/>
        <v>207.74</v>
      </c>
      <c r="AE57" s="17">
        <f t="shared" ca="1" si="9"/>
        <v>176.57900000000001</v>
      </c>
      <c r="AF57" s="17">
        <f t="shared" ca="1" si="10"/>
        <v>145.41800000000001</v>
      </c>
      <c r="AG57" s="17">
        <f t="shared" ca="1" si="11"/>
        <v>62.322000000000003</v>
      </c>
      <c r="AH57" s="15" t="str">
        <f t="shared" ca="1" si="12"/>
        <v>R$ 15,58 x 4 Parcelas</v>
      </c>
      <c r="AJ57" s="41">
        <f t="shared" si="13"/>
        <v>145.74</v>
      </c>
      <c r="AK57" s="42">
        <f t="shared" si="14"/>
        <v>207.74</v>
      </c>
      <c r="AL57" s="43">
        <f t="shared" ca="1" si="15"/>
        <v>186.96600000000001</v>
      </c>
      <c r="AM57" s="43">
        <f t="shared" ca="1" si="16"/>
        <v>124.64400000000001</v>
      </c>
      <c r="AN57" s="43">
        <f t="shared" ca="1" si="17"/>
        <v>41.225999999999999</v>
      </c>
      <c r="AO57" s="44" t="str">
        <f t="shared" ca="1" si="18"/>
        <v>R$ 10,31 x 4 Parcelas</v>
      </c>
    </row>
    <row r="58" spans="1:41" x14ac:dyDescent="0.3">
      <c r="A58" t="s">
        <v>154</v>
      </c>
      <c r="B58" t="s">
        <v>155</v>
      </c>
      <c r="C58" t="s">
        <v>156</v>
      </c>
      <c r="D58" t="s">
        <v>157</v>
      </c>
      <c r="E58" t="s">
        <v>158</v>
      </c>
      <c r="F58" t="s">
        <v>159</v>
      </c>
      <c r="G58" t="s">
        <v>21</v>
      </c>
      <c r="H58" t="s">
        <v>160</v>
      </c>
      <c r="I58" t="s">
        <v>29</v>
      </c>
      <c r="J58" s="1">
        <v>79040040</v>
      </c>
      <c r="K58" t="s">
        <v>161</v>
      </c>
      <c r="L58" t="s">
        <v>48</v>
      </c>
      <c r="M58" s="1">
        <v>6</v>
      </c>
      <c r="N58" s="4">
        <v>42561</v>
      </c>
      <c r="O58" s="2">
        <v>62</v>
      </c>
      <c r="P58" s="2">
        <v>145.74</v>
      </c>
      <c r="Q58" s="2">
        <v>0</v>
      </c>
      <c r="R58" s="2">
        <f t="shared" si="19"/>
        <v>207.74</v>
      </c>
      <c r="S58" t="s">
        <v>31</v>
      </c>
      <c r="T58" t="s">
        <v>32</v>
      </c>
      <c r="U58" s="5">
        <f t="shared" ca="1" si="1"/>
        <v>3529</v>
      </c>
      <c r="V58" s="37">
        <f t="shared" ca="1" si="0"/>
        <v>0</v>
      </c>
      <c r="W58" s="38">
        <f t="shared" ca="1" si="2"/>
        <v>62</v>
      </c>
      <c r="X58" s="38">
        <f t="shared" ca="1" si="3"/>
        <v>55.800000000000004</v>
      </c>
      <c r="Y58" s="39">
        <f t="shared" ca="1" si="20"/>
        <v>27.900000000000002</v>
      </c>
      <c r="Z58" s="39">
        <f t="shared" ca="1" si="5"/>
        <v>34.099999999999994</v>
      </c>
      <c r="AA58" s="40" t="str">
        <f t="shared" ca="1" si="6"/>
        <v>R$ 8,53 x 4 Parcelas</v>
      </c>
      <c r="AC58" s="17">
        <f t="shared" si="7"/>
        <v>145.74</v>
      </c>
      <c r="AD58" s="17">
        <f t="shared" si="8"/>
        <v>207.74</v>
      </c>
      <c r="AE58" s="17">
        <f t="shared" ca="1" si="9"/>
        <v>176.57900000000001</v>
      </c>
      <c r="AF58" s="17">
        <f t="shared" ca="1" si="10"/>
        <v>145.41800000000001</v>
      </c>
      <c r="AG58" s="17">
        <f t="shared" ca="1" si="11"/>
        <v>62.322000000000003</v>
      </c>
      <c r="AH58" s="15" t="str">
        <f t="shared" ca="1" si="12"/>
        <v>R$ 15,58 x 4 Parcelas</v>
      </c>
      <c r="AJ58" s="41">
        <f t="shared" si="13"/>
        <v>145.74</v>
      </c>
      <c r="AK58" s="42">
        <f t="shared" si="14"/>
        <v>207.74</v>
      </c>
      <c r="AL58" s="43">
        <f t="shared" ca="1" si="15"/>
        <v>186.96600000000001</v>
      </c>
      <c r="AM58" s="43">
        <f t="shared" ca="1" si="16"/>
        <v>124.64400000000001</v>
      </c>
      <c r="AN58" s="43">
        <f t="shared" ca="1" si="17"/>
        <v>41.225999999999999</v>
      </c>
      <c r="AO58" s="44" t="str">
        <f t="shared" ca="1" si="18"/>
        <v>R$ 10,31 x 4 Parcelas</v>
      </c>
    </row>
    <row r="59" spans="1:41" x14ac:dyDescent="0.3">
      <c r="A59" t="s">
        <v>154</v>
      </c>
      <c r="B59" t="s">
        <v>155</v>
      </c>
      <c r="C59" t="s">
        <v>156</v>
      </c>
      <c r="D59" t="s">
        <v>157</v>
      </c>
      <c r="E59" t="s">
        <v>158</v>
      </c>
      <c r="F59" t="s">
        <v>159</v>
      </c>
      <c r="G59" t="s">
        <v>21</v>
      </c>
      <c r="H59" t="s">
        <v>160</v>
      </c>
      <c r="I59" t="s">
        <v>29</v>
      </c>
      <c r="J59" s="1">
        <v>79040040</v>
      </c>
      <c r="K59" t="s">
        <v>161</v>
      </c>
      <c r="L59" t="s">
        <v>48</v>
      </c>
      <c r="M59" s="1">
        <v>6</v>
      </c>
      <c r="N59" s="4">
        <v>42561</v>
      </c>
      <c r="O59" s="2">
        <v>325.61</v>
      </c>
      <c r="P59" s="2">
        <v>765.4</v>
      </c>
      <c r="Q59" s="2">
        <v>0</v>
      </c>
      <c r="R59" s="2">
        <f t="shared" si="19"/>
        <v>1091.01</v>
      </c>
      <c r="S59" t="s">
        <v>31</v>
      </c>
      <c r="T59" t="s">
        <v>0</v>
      </c>
      <c r="U59" s="5">
        <f t="shared" ca="1" si="1"/>
        <v>3529</v>
      </c>
      <c r="V59" s="37">
        <f t="shared" ca="1" si="0"/>
        <v>0</v>
      </c>
      <c r="W59" s="38">
        <f t="shared" ca="1" si="2"/>
        <v>325.61</v>
      </c>
      <c r="X59" s="38">
        <f t="shared" ca="1" si="3"/>
        <v>293.04900000000004</v>
      </c>
      <c r="Y59" s="39">
        <f t="shared" ca="1" si="20"/>
        <v>146.52450000000002</v>
      </c>
      <c r="Z59" s="39">
        <f t="shared" ca="1" si="5"/>
        <v>179.0855</v>
      </c>
      <c r="AA59" s="40" t="str">
        <f t="shared" ca="1" si="6"/>
        <v>R$ 44,77 x 4 Parcelas</v>
      </c>
      <c r="AC59" s="17">
        <f t="shared" si="7"/>
        <v>765.4</v>
      </c>
      <c r="AD59" s="17">
        <f t="shared" si="8"/>
        <v>1091.01</v>
      </c>
      <c r="AE59" s="17">
        <f t="shared" ca="1" si="9"/>
        <v>927.35849999999994</v>
      </c>
      <c r="AF59" s="17">
        <f t="shared" ca="1" si="10"/>
        <v>763.70699999999999</v>
      </c>
      <c r="AG59" s="17">
        <f t="shared" ca="1" si="11"/>
        <v>327.303</v>
      </c>
      <c r="AH59" s="15" t="str">
        <f t="shared" ca="1" si="12"/>
        <v>R$ 81,83 x 4 Parcelas</v>
      </c>
      <c r="AJ59" s="41">
        <f t="shared" si="13"/>
        <v>765.4</v>
      </c>
      <c r="AK59" s="42">
        <f t="shared" si="14"/>
        <v>1091.01</v>
      </c>
      <c r="AL59" s="43">
        <f t="shared" ca="1" si="15"/>
        <v>981.90899999999999</v>
      </c>
      <c r="AM59" s="43">
        <f t="shared" ca="1" si="16"/>
        <v>654.60599999999999</v>
      </c>
      <c r="AN59" s="43">
        <f t="shared" ca="1" si="17"/>
        <v>216.50900000000001</v>
      </c>
      <c r="AO59" s="44" t="str">
        <f t="shared" ca="1" si="18"/>
        <v>R$ 54,13 x 4 Parcelas</v>
      </c>
    </row>
    <row r="60" spans="1:41" x14ac:dyDescent="0.3">
      <c r="A60" t="s">
        <v>154</v>
      </c>
      <c r="B60" t="s">
        <v>155</v>
      </c>
      <c r="C60" t="s">
        <v>156</v>
      </c>
      <c r="D60" t="s">
        <v>157</v>
      </c>
      <c r="E60" t="s">
        <v>158</v>
      </c>
      <c r="F60" t="s">
        <v>159</v>
      </c>
      <c r="G60" t="s">
        <v>21</v>
      </c>
      <c r="H60" t="s">
        <v>160</v>
      </c>
      <c r="I60" t="s">
        <v>29</v>
      </c>
      <c r="J60" s="1">
        <v>79040040</v>
      </c>
      <c r="K60" t="s">
        <v>161</v>
      </c>
      <c r="L60" t="s">
        <v>48</v>
      </c>
      <c r="M60" s="1">
        <v>6</v>
      </c>
      <c r="N60" s="4">
        <v>42561</v>
      </c>
      <c r="O60" s="2">
        <v>325.61</v>
      </c>
      <c r="P60" s="2">
        <v>765.4</v>
      </c>
      <c r="Q60" s="2">
        <v>0</v>
      </c>
      <c r="R60" s="2">
        <f t="shared" si="19"/>
        <v>1091.01</v>
      </c>
      <c r="S60" t="s">
        <v>31</v>
      </c>
      <c r="T60" t="s">
        <v>0</v>
      </c>
      <c r="U60" s="5">
        <f t="shared" ca="1" si="1"/>
        <v>3529</v>
      </c>
      <c r="V60" s="37">
        <f t="shared" ca="1" si="0"/>
        <v>0</v>
      </c>
      <c r="W60" s="38">
        <f t="shared" ca="1" si="2"/>
        <v>325.61</v>
      </c>
      <c r="X60" s="38">
        <f t="shared" ca="1" si="3"/>
        <v>293.04900000000004</v>
      </c>
      <c r="Y60" s="39">
        <f t="shared" ca="1" si="20"/>
        <v>146.52450000000002</v>
      </c>
      <c r="Z60" s="39">
        <f t="shared" ca="1" si="5"/>
        <v>179.0855</v>
      </c>
      <c r="AA60" s="40" t="str">
        <f t="shared" ca="1" si="6"/>
        <v>R$ 44,77 x 4 Parcelas</v>
      </c>
      <c r="AC60" s="17">
        <f t="shared" si="7"/>
        <v>765.4</v>
      </c>
      <c r="AD60" s="17">
        <f t="shared" si="8"/>
        <v>1091.01</v>
      </c>
      <c r="AE60" s="17">
        <f t="shared" ca="1" si="9"/>
        <v>927.35849999999994</v>
      </c>
      <c r="AF60" s="17">
        <f t="shared" ca="1" si="10"/>
        <v>763.70699999999999</v>
      </c>
      <c r="AG60" s="17">
        <f t="shared" ca="1" si="11"/>
        <v>327.303</v>
      </c>
      <c r="AH60" s="15" t="str">
        <f t="shared" ca="1" si="12"/>
        <v>R$ 81,83 x 4 Parcelas</v>
      </c>
      <c r="AJ60" s="41">
        <f t="shared" si="13"/>
        <v>765.4</v>
      </c>
      <c r="AK60" s="42">
        <f t="shared" si="14"/>
        <v>1091.01</v>
      </c>
      <c r="AL60" s="43">
        <f t="shared" ca="1" si="15"/>
        <v>981.90899999999999</v>
      </c>
      <c r="AM60" s="43">
        <f t="shared" ca="1" si="16"/>
        <v>654.60599999999999</v>
      </c>
      <c r="AN60" s="43">
        <f t="shared" ca="1" si="17"/>
        <v>216.50900000000001</v>
      </c>
      <c r="AO60" s="44" t="str">
        <f t="shared" ca="1" si="18"/>
        <v>R$ 54,13 x 4 Parcelas</v>
      </c>
    </row>
    <row r="61" spans="1:41" x14ac:dyDescent="0.3">
      <c r="A61" t="s">
        <v>116</v>
      </c>
      <c r="B61" t="s">
        <v>117</v>
      </c>
      <c r="C61" t="s">
        <v>118</v>
      </c>
      <c r="D61" t="s">
        <v>119</v>
      </c>
      <c r="E61" t="s">
        <v>21</v>
      </c>
      <c r="F61" t="s">
        <v>120</v>
      </c>
      <c r="G61" t="s">
        <v>21</v>
      </c>
      <c r="H61" t="s">
        <v>46</v>
      </c>
      <c r="I61" t="s">
        <v>29</v>
      </c>
      <c r="J61" s="1">
        <v>79002060</v>
      </c>
      <c r="K61" t="s">
        <v>21</v>
      </c>
      <c r="L61" t="s">
        <v>48</v>
      </c>
      <c r="M61" s="1">
        <v>5</v>
      </c>
      <c r="N61" s="4">
        <v>42561</v>
      </c>
      <c r="O61" s="2">
        <v>367.97</v>
      </c>
      <c r="P61" s="2">
        <v>864.97</v>
      </c>
      <c r="Q61" s="2">
        <v>0</v>
      </c>
      <c r="R61" s="2">
        <f t="shared" si="19"/>
        <v>1232.94</v>
      </c>
      <c r="S61" t="s">
        <v>31</v>
      </c>
      <c r="T61" t="s">
        <v>0</v>
      </c>
      <c r="U61" s="5">
        <f t="shared" ca="1" si="1"/>
        <v>3529</v>
      </c>
      <c r="V61" s="37">
        <f t="shared" ca="1" si="0"/>
        <v>0</v>
      </c>
      <c r="W61" s="38">
        <f t="shared" ca="1" si="2"/>
        <v>367.97</v>
      </c>
      <c r="X61" s="38">
        <f t="shared" ca="1" si="3"/>
        <v>331.17300000000006</v>
      </c>
      <c r="Y61" s="39">
        <f t="shared" ca="1" si="20"/>
        <v>165.58650000000003</v>
      </c>
      <c r="Z61" s="39">
        <f t="shared" ca="1" si="5"/>
        <v>202.3835</v>
      </c>
      <c r="AA61" s="40" t="str">
        <f t="shared" ca="1" si="6"/>
        <v>R$ 50,60 x 4 Parcelas</v>
      </c>
      <c r="AC61" s="17">
        <f t="shared" si="7"/>
        <v>864.97</v>
      </c>
      <c r="AD61" s="17">
        <f t="shared" si="8"/>
        <v>1232.94</v>
      </c>
      <c r="AE61" s="17">
        <f t="shared" ca="1" si="9"/>
        <v>1047.999</v>
      </c>
      <c r="AF61" s="17">
        <f t="shared" ca="1" si="10"/>
        <v>863.05799999999999</v>
      </c>
      <c r="AG61" s="17">
        <f t="shared" ca="1" si="11"/>
        <v>369.88200000000006</v>
      </c>
      <c r="AH61" s="15" t="str">
        <f t="shared" ca="1" si="12"/>
        <v>R$ 92,47 x 4 Parcelas</v>
      </c>
      <c r="AJ61" s="41">
        <f t="shared" si="13"/>
        <v>864.97</v>
      </c>
      <c r="AK61" s="42">
        <f t="shared" si="14"/>
        <v>1232.94</v>
      </c>
      <c r="AL61" s="43">
        <f t="shared" ca="1" si="15"/>
        <v>1109.6460000000002</v>
      </c>
      <c r="AM61" s="43">
        <f t="shared" ca="1" si="16"/>
        <v>739.76400000000001</v>
      </c>
      <c r="AN61" s="43">
        <f t="shared" ca="1" si="17"/>
        <v>244.67600000000016</v>
      </c>
      <c r="AO61" s="44" t="str">
        <f t="shared" ca="1" si="18"/>
        <v>R$ 61,17 x 4 Parcelas</v>
      </c>
    </row>
    <row r="62" spans="1:41" x14ac:dyDescent="0.3">
      <c r="A62" t="s">
        <v>143</v>
      </c>
      <c r="B62" t="s">
        <v>21</v>
      </c>
      <c r="C62" t="s">
        <v>144</v>
      </c>
      <c r="D62" t="s">
        <v>36</v>
      </c>
      <c r="E62" t="s">
        <v>21</v>
      </c>
      <c r="F62" t="s">
        <v>145</v>
      </c>
      <c r="G62" s="1">
        <v>25</v>
      </c>
      <c r="H62" t="s">
        <v>146</v>
      </c>
      <c r="I62" t="s">
        <v>29</v>
      </c>
      <c r="J62" s="1">
        <v>79022066</v>
      </c>
      <c r="K62" t="s">
        <v>21</v>
      </c>
      <c r="L62" t="s">
        <v>30</v>
      </c>
      <c r="M62" s="1">
        <v>5</v>
      </c>
      <c r="N62" s="4">
        <v>42561</v>
      </c>
      <c r="O62" s="2">
        <v>295.3</v>
      </c>
      <c r="P62" s="2">
        <v>694.15</v>
      </c>
      <c r="Q62" s="2">
        <v>0</v>
      </c>
      <c r="R62" s="2">
        <f t="shared" si="19"/>
        <v>989.45</v>
      </c>
      <c r="S62" t="s">
        <v>31</v>
      </c>
      <c r="T62" t="s">
        <v>0</v>
      </c>
      <c r="U62" s="5">
        <f t="shared" ca="1" si="1"/>
        <v>3529</v>
      </c>
      <c r="V62" s="37">
        <f t="shared" ca="1" si="0"/>
        <v>0</v>
      </c>
      <c r="W62" s="38">
        <f t="shared" ca="1" si="2"/>
        <v>295.3</v>
      </c>
      <c r="X62" s="38">
        <f t="shared" ca="1" si="3"/>
        <v>265.77000000000004</v>
      </c>
      <c r="Y62" s="39">
        <f t="shared" ca="1" si="20"/>
        <v>132.88500000000002</v>
      </c>
      <c r="Z62" s="39">
        <f t="shared" ca="1" si="5"/>
        <v>162.41499999999999</v>
      </c>
      <c r="AA62" s="40" t="str">
        <f t="shared" ca="1" si="6"/>
        <v>R$ 40,60 x 4 Parcelas</v>
      </c>
      <c r="AC62" s="17">
        <f t="shared" si="7"/>
        <v>694.15</v>
      </c>
      <c r="AD62" s="17">
        <f t="shared" si="8"/>
        <v>989.45</v>
      </c>
      <c r="AE62" s="17">
        <f t="shared" ca="1" si="9"/>
        <v>841.03250000000003</v>
      </c>
      <c r="AF62" s="17">
        <f t="shared" ca="1" si="10"/>
        <v>692.61500000000001</v>
      </c>
      <c r="AG62" s="17">
        <f t="shared" ca="1" si="11"/>
        <v>296.83500000000004</v>
      </c>
      <c r="AH62" s="15" t="str">
        <f t="shared" ca="1" si="12"/>
        <v>R$ 74,21 x 4 Parcelas</v>
      </c>
      <c r="AJ62" s="41">
        <f t="shared" si="13"/>
        <v>694.15</v>
      </c>
      <c r="AK62" s="42">
        <f t="shared" si="14"/>
        <v>989.45</v>
      </c>
      <c r="AL62" s="43">
        <f t="shared" ca="1" si="15"/>
        <v>890.50500000000011</v>
      </c>
      <c r="AM62" s="43">
        <f t="shared" ca="1" si="16"/>
        <v>593.66999999999996</v>
      </c>
      <c r="AN62" s="43">
        <f t="shared" ca="1" si="17"/>
        <v>196.35500000000013</v>
      </c>
      <c r="AO62" s="44" t="str">
        <f t="shared" ca="1" si="18"/>
        <v>R$ 49,09 x 4 Parcelas</v>
      </c>
    </row>
    <row r="63" spans="1:41" x14ac:dyDescent="0.3">
      <c r="A63" t="s">
        <v>162</v>
      </c>
      <c r="B63" t="s">
        <v>163</v>
      </c>
      <c r="C63" t="s">
        <v>164</v>
      </c>
      <c r="D63" t="s">
        <v>165</v>
      </c>
      <c r="E63" t="s">
        <v>166</v>
      </c>
      <c r="F63" t="s">
        <v>167</v>
      </c>
      <c r="G63" s="1">
        <v>583</v>
      </c>
      <c r="H63" t="s">
        <v>82</v>
      </c>
      <c r="I63" t="s">
        <v>29</v>
      </c>
      <c r="J63" s="1">
        <v>79004690</v>
      </c>
      <c r="K63" t="s">
        <v>21</v>
      </c>
      <c r="L63" t="s">
        <v>48</v>
      </c>
      <c r="M63" s="1">
        <v>1</v>
      </c>
      <c r="N63" s="4">
        <v>42566</v>
      </c>
      <c r="O63" s="2">
        <v>891.41</v>
      </c>
      <c r="P63" s="2">
        <v>2093.0300000000002</v>
      </c>
      <c r="Q63" s="2">
        <v>0</v>
      </c>
      <c r="R63" s="2">
        <f t="shared" si="19"/>
        <v>2984.44</v>
      </c>
      <c r="S63" t="s">
        <v>31</v>
      </c>
      <c r="T63" t="s">
        <v>0</v>
      </c>
      <c r="U63" s="5">
        <f t="shared" ca="1" si="1"/>
        <v>3524</v>
      </c>
      <c r="V63" s="37">
        <f t="shared" ca="1" si="0"/>
        <v>0</v>
      </c>
      <c r="W63" s="38">
        <f t="shared" ca="1" si="2"/>
        <v>891.41</v>
      </c>
      <c r="X63" s="38">
        <f t="shared" ca="1" si="3"/>
        <v>802.26900000000001</v>
      </c>
      <c r="Y63" s="39">
        <f t="shared" ca="1" si="20"/>
        <v>401.1345</v>
      </c>
      <c r="Z63" s="39">
        <f t="shared" ca="1" si="5"/>
        <v>490.27549999999997</v>
      </c>
      <c r="AA63" s="40" t="str">
        <f t="shared" ca="1" si="6"/>
        <v>R$ 122,57 x 4 Parcelas</v>
      </c>
      <c r="AC63" s="17">
        <f t="shared" si="7"/>
        <v>2093.0300000000002</v>
      </c>
      <c r="AD63" s="17">
        <f t="shared" si="8"/>
        <v>2984.44</v>
      </c>
      <c r="AE63" s="17">
        <f t="shared" ca="1" si="9"/>
        <v>2536.7739999999999</v>
      </c>
      <c r="AF63" s="17">
        <f t="shared" ca="1" si="10"/>
        <v>2089.1079999999997</v>
      </c>
      <c r="AG63" s="17">
        <f t="shared" ca="1" si="11"/>
        <v>895.33200000000033</v>
      </c>
      <c r="AH63" s="15" t="str">
        <f t="shared" ca="1" si="12"/>
        <v>R$ 223,83 x 4 Parcelas</v>
      </c>
      <c r="AJ63" s="41">
        <f t="shared" si="13"/>
        <v>2093.0300000000002</v>
      </c>
      <c r="AK63" s="42">
        <f t="shared" si="14"/>
        <v>2984.44</v>
      </c>
      <c r="AL63" s="43">
        <f t="shared" ca="1" si="15"/>
        <v>2685.9960000000001</v>
      </c>
      <c r="AM63" s="43">
        <f t="shared" ca="1" si="16"/>
        <v>1790.664</v>
      </c>
      <c r="AN63" s="43">
        <f t="shared" ca="1" si="17"/>
        <v>592.96599999999989</v>
      </c>
      <c r="AO63" s="44" t="str">
        <f t="shared" ca="1" si="18"/>
        <v>R$ 148,24 x 4 Parcelas</v>
      </c>
    </row>
    <row r="64" spans="1:41" x14ac:dyDescent="0.3">
      <c r="A64" t="s">
        <v>168</v>
      </c>
      <c r="B64" t="s">
        <v>21</v>
      </c>
      <c r="C64" t="s">
        <v>169</v>
      </c>
      <c r="D64" t="s">
        <v>170</v>
      </c>
      <c r="E64" t="s">
        <v>21</v>
      </c>
      <c r="F64" t="s">
        <v>171</v>
      </c>
      <c r="G64" t="s">
        <v>21</v>
      </c>
      <c r="H64" t="s">
        <v>172</v>
      </c>
      <c r="I64" t="s">
        <v>29</v>
      </c>
      <c r="J64" s="1">
        <v>79040090</v>
      </c>
      <c r="K64" t="s">
        <v>21</v>
      </c>
      <c r="L64" t="s">
        <v>30</v>
      </c>
      <c r="M64" s="1">
        <v>6</v>
      </c>
      <c r="N64" s="4">
        <v>42566</v>
      </c>
      <c r="O64" s="2">
        <v>378.48</v>
      </c>
      <c r="P64" s="2">
        <v>888.67</v>
      </c>
      <c r="Q64" s="2">
        <v>0</v>
      </c>
      <c r="R64" s="2">
        <f t="shared" si="19"/>
        <v>1267.1500000000001</v>
      </c>
      <c r="S64" t="s">
        <v>31</v>
      </c>
      <c r="T64" t="s">
        <v>0</v>
      </c>
      <c r="U64" s="5">
        <f t="shared" ca="1" si="1"/>
        <v>3524</v>
      </c>
      <c r="V64" s="37">
        <f t="shared" ca="1" si="0"/>
        <v>0</v>
      </c>
      <c r="W64" s="38">
        <f t="shared" ca="1" si="2"/>
        <v>378.48</v>
      </c>
      <c r="X64" s="38">
        <f t="shared" ca="1" si="3"/>
        <v>340.63200000000001</v>
      </c>
      <c r="Y64" s="39">
        <f t="shared" ca="1" si="20"/>
        <v>170.316</v>
      </c>
      <c r="Z64" s="39">
        <f t="shared" ca="1" si="5"/>
        <v>208.16400000000002</v>
      </c>
      <c r="AA64" s="40" t="str">
        <f t="shared" ca="1" si="6"/>
        <v>R$ 52,04 x 4 Parcelas</v>
      </c>
      <c r="AC64" s="17">
        <f t="shared" si="7"/>
        <v>888.67</v>
      </c>
      <c r="AD64" s="17">
        <f t="shared" si="8"/>
        <v>1267.1500000000001</v>
      </c>
      <c r="AE64" s="17">
        <f t="shared" ca="1" si="9"/>
        <v>1077.0775000000001</v>
      </c>
      <c r="AF64" s="17">
        <f t="shared" ca="1" si="10"/>
        <v>887.005</v>
      </c>
      <c r="AG64" s="17">
        <f t="shared" ca="1" si="11"/>
        <v>380.1450000000001</v>
      </c>
      <c r="AH64" s="15" t="str">
        <f t="shared" ca="1" si="12"/>
        <v>R$ 95,04 x 4 Parcelas</v>
      </c>
      <c r="AJ64" s="41">
        <f t="shared" si="13"/>
        <v>888.67</v>
      </c>
      <c r="AK64" s="42">
        <f t="shared" si="14"/>
        <v>1267.1500000000001</v>
      </c>
      <c r="AL64" s="43">
        <f t="shared" ca="1" si="15"/>
        <v>1140.4350000000002</v>
      </c>
      <c r="AM64" s="43">
        <f t="shared" ca="1" si="16"/>
        <v>760.29000000000008</v>
      </c>
      <c r="AN64" s="43">
        <f t="shared" ca="1" si="17"/>
        <v>251.76500000000021</v>
      </c>
      <c r="AO64" s="44" t="str">
        <f t="shared" ca="1" si="18"/>
        <v>R$ 62,94 x 4 Parcelas</v>
      </c>
    </row>
    <row r="65" spans="1:41" x14ac:dyDescent="0.3">
      <c r="A65" t="s">
        <v>168</v>
      </c>
      <c r="B65" t="s">
        <v>21</v>
      </c>
      <c r="C65" t="s">
        <v>169</v>
      </c>
      <c r="D65" t="s">
        <v>170</v>
      </c>
      <c r="E65" t="s">
        <v>21</v>
      </c>
      <c r="F65" t="s">
        <v>171</v>
      </c>
      <c r="G65" t="s">
        <v>21</v>
      </c>
      <c r="H65" t="s">
        <v>172</v>
      </c>
      <c r="I65" t="s">
        <v>29</v>
      </c>
      <c r="J65" s="1">
        <v>79040090</v>
      </c>
      <c r="K65" t="s">
        <v>21</v>
      </c>
      <c r="L65" t="s">
        <v>30</v>
      </c>
      <c r="M65" s="1">
        <v>6</v>
      </c>
      <c r="N65" s="4">
        <v>42566</v>
      </c>
      <c r="O65" s="2">
        <v>84.4</v>
      </c>
      <c r="P65" s="2">
        <v>198.17</v>
      </c>
      <c r="Q65" s="2">
        <v>0</v>
      </c>
      <c r="R65" s="2">
        <f t="shared" si="19"/>
        <v>282.57</v>
      </c>
      <c r="S65" t="s">
        <v>31</v>
      </c>
      <c r="T65" t="s">
        <v>32</v>
      </c>
      <c r="U65" s="5">
        <f t="shared" ca="1" si="1"/>
        <v>3524</v>
      </c>
      <c r="V65" s="37">
        <f t="shared" ca="1" si="0"/>
        <v>0</v>
      </c>
      <c r="W65" s="38">
        <f t="shared" ca="1" si="2"/>
        <v>84.4</v>
      </c>
      <c r="X65" s="38">
        <f t="shared" ca="1" si="3"/>
        <v>75.960000000000008</v>
      </c>
      <c r="Y65" s="39">
        <f t="shared" ca="1" si="20"/>
        <v>37.980000000000004</v>
      </c>
      <c r="Z65" s="39">
        <f t="shared" ca="1" si="5"/>
        <v>46.42</v>
      </c>
      <c r="AA65" s="40" t="str">
        <f t="shared" ca="1" si="6"/>
        <v>R$ 11,61 x 4 Parcelas</v>
      </c>
      <c r="AC65" s="17">
        <f t="shared" si="7"/>
        <v>198.17</v>
      </c>
      <c r="AD65" s="17">
        <f t="shared" si="8"/>
        <v>282.57</v>
      </c>
      <c r="AE65" s="17">
        <f t="shared" ca="1" si="9"/>
        <v>240.18449999999999</v>
      </c>
      <c r="AF65" s="17">
        <f t="shared" ca="1" si="10"/>
        <v>197.79899999999998</v>
      </c>
      <c r="AG65" s="17">
        <f t="shared" ca="1" si="11"/>
        <v>84.771000000000015</v>
      </c>
      <c r="AH65" s="15" t="str">
        <f t="shared" ca="1" si="12"/>
        <v>R$ 21,19 x 4 Parcelas</v>
      </c>
      <c r="AJ65" s="41">
        <f t="shared" si="13"/>
        <v>198.17</v>
      </c>
      <c r="AK65" s="42">
        <f t="shared" si="14"/>
        <v>282.57</v>
      </c>
      <c r="AL65" s="43">
        <f t="shared" ca="1" si="15"/>
        <v>254.31299999999999</v>
      </c>
      <c r="AM65" s="43">
        <f t="shared" ca="1" si="16"/>
        <v>169.542</v>
      </c>
      <c r="AN65" s="43">
        <f t="shared" ca="1" si="17"/>
        <v>56.143000000000001</v>
      </c>
      <c r="AO65" s="44" t="str">
        <f t="shared" ca="1" si="18"/>
        <v>R$ 14,04 x 4 Parcelas</v>
      </c>
    </row>
    <row r="66" spans="1:41" x14ac:dyDescent="0.3">
      <c r="A66" t="s">
        <v>143</v>
      </c>
      <c r="B66" t="s">
        <v>21</v>
      </c>
      <c r="C66" t="s">
        <v>144</v>
      </c>
      <c r="D66" t="s">
        <v>36</v>
      </c>
      <c r="E66" t="s">
        <v>21</v>
      </c>
      <c r="F66" t="s">
        <v>145</v>
      </c>
      <c r="G66" s="1">
        <v>25</v>
      </c>
      <c r="H66" t="s">
        <v>146</v>
      </c>
      <c r="I66" t="s">
        <v>29</v>
      </c>
      <c r="J66" s="1">
        <v>79022066</v>
      </c>
      <c r="K66" t="s">
        <v>21</v>
      </c>
      <c r="L66" t="s">
        <v>30</v>
      </c>
      <c r="M66" s="1">
        <v>6</v>
      </c>
      <c r="N66" s="4">
        <v>42592</v>
      </c>
      <c r="O66" s="2">
        <v>66.5</v>
      </c>
      <c r="P66" s="2">
        <v>154.99</v>
      </c>
      <c r="Q66" s="2">
        <v>0</v>
      </c>
      <c r="R66" s="2">
        <f t="shared" si="19"/>
        <v>221.49</v>
      </c>
      <c r="S66" t="s">
        <v>31</v>
      </c>
      <c r="T66" t="s">
        <v>32</v>
      </c>
      <c r="U66" s="5">
        <f t="shared" ca="1" si="1"/>
        <v>3498</v>
      </c>
      <c r="V66" s="37">
        <f t="shared" ca="1" si="0"/>
        <v>0</v>
      </c>
      <c r="W66" s="38">
        <f t="shared" ca="1" si="2"/>
        <v>66.5</v>
      </c>
      <c r="X66" s="38">
        <f t="shared" ca="1" si="3"/>
        <v>59.85</v>
      </c>
      <c r="Y66" s="39">
        <f t="shared" ca="1" si="20"/>
        <v>29.925000000000001</v>
      </c>
      <c r="Z66" s="39">
        <f t="shared" ca="1" si="5"/>
        <v>36.575000000000003</v>
      </c>
      <c r="AA66" s="40" t="str">
        <f t="shared" ca="1" si="6"/>
        <v>R$ 9,14 x 4 Parcelas</v>
      </c>
      <c r="AC66" s="17">
        <f t="shared" si="7"/>
        <v>154.99</v>
      </c>
      <c r="AD66" s="17">
        <f t="shared" si="8"/>
        <v>221.49</v>
      </c>
      <c r="AE66" s="17">
        <f t="shared" ca="1" si="9"/>
        <v>188.26650000000001</v>
      </c>
      <c r="AF66" s="17">
        <f t="shared" ca="1" si="10"/>
        <v>155.04300000000001</v>
      </c>
      <c r="AG66" s="17">
        <f t="shared" ca="1" si="11"/>
        <v>66.447000000000003</v>
      </c>
      <c r="AH66" s="15" t="str">
        <f t="shared" ca="1" si="12"/>
        <v>R$ 16,61 x 4 Parcelas</v>
      </c>
      <c r="AJ66" s="41">
        <f t="shared" si="13"/>
        <v>154.99</v>
      </c>
      <c r="AK66" s="42">
        <f t="shared" si="14"/>
        <v>221.49</v>
      </c>
      <c r="AL66" s="43">
        <f t="shared" ca="1" si="15"/>
        <v>199.34100000000001</v>
      </c>
      <c r="AM66" s="43">
        <f t="shared" ca="1" si="16"/>
        <v>132.89400000000001</v>
      </c>
      <c r="AN66" s="43">
        <f t="shared" ca="1" si="17"/>
        <v>44.350999999999999</v>
      </c>
      <c r="AO66" s="44" t="str">
        <f t="shared" ca="1" si="18"/>
        <v>R$ 11,09 x 4 Parcelas</v>
      </c>
    </row>
    <row r="67" spans="1:41" x14ac:dyDescent="0.3">
      <c r="A67" t="s">
        <v>116</v>
      </c>
      <c r="B67" t="s">
        <v>117</v>
      </c>
      <c r="C67" t="s">
        <v>118</v>
      </c>
      <c r="D67" t="s">
        <v>119</v>
      </c>
      <c r="E67" t="s">
        <v>21</v>
      </c>
      <c r="F67" t="s">
        <v>120</v>
      </c>
      <c r="G67" t="s">
        <v>21</v>
      </c>
      <c r="H67" t="s">
        <v>46</v>
      </c>
      <c r="I67" t="s">
        <v>29</v>
      </c>
      <c r="J67" s="1">
        <v>79002060</v>
      </c>
      <c r="K67" t="s">
        <v>21</v>
      </c>
      <c r="L67" t="s">
        <v>48</v>
      </c>
      <c r="M67" s="1">
        <v>6</v>
      </c>
      <c r="N67" s="4">
        <v>42592</v>
      </c>
      <c r="O67" s="2">
        <v>367.97</v>
      </c>
      <c r="P67" s="2">
        <v>857.62</v>
      </c>
      <c r="Q67" s="2">
        <v>0</v>
      </c>
      <c r="R67" s="2">
        <f t="shared" si="19"/>
        <v>1225.5900000000001</v>
      </c>
      <c r="S67" t="s">
        <v>31</v>
      </c>
      <c r="T67" t="s">
        <v>0</v>
      </c>
      <c r="U67" s="5">
        <f t="shared" ca="1" si="1"/>
        <v>3498</v>
      </c>
      <c r="V67" s="37">
        <f t="shared" ref="V67:V130" ca="1" si="21">P67*(1-VLOOKUP(U67, $BC$3:$BG$12, 2, TRUE))</f>
        <v>0</v>
      </c>
      <c r="W67" s="38">
        <f t="shared" ca="1" si="2"/>
        <v>367.97</v>
      </c>
      <c r="X67" s="38">
        <f t="shared" ca="1" si="3"/>
        <v>331.17300000000006</v>
      </c>
      <c r="Y67" s="39">
        <f t="shared" ca="1" si="20"/>
        <v>165.58650000000003</v>
      </c>
      <c r="Z67" s="39">
        <f t="shared" ca="1" si="5"/>
        <v>202.3835</v>
      </c>
      <c r="AA67" s="40" t="str">
        <f t="shared" ca="1" si="6"/>
        <v>R$ 50,60 x 4 Parcelas</v>
      </c>
      <c r="AC67" s="17">
        <f t="shared" si="7"/>
        <v>857.62</v>
      </c>
      <c r="AD67" s="17">
        <f t="shared" si="8"/>
        <v>1225.5900000000001</v>
      </c>
      <c r="AE67" s="17">
        <f t="shared" ca="1" si="9"/>
        <v>1041.7515000000001</v>
      </c>
      <c r="AF67" s="17">
        <f t="shared" ca="1" si="10"/>
        <v>857.91300000000001</v>
      </c>
      <c r="AG67" s="17">
        <f t="shared" ca="1" si="11"/>
        <v>367.67700000000013</v>
      </c>
      <c r="AH67" s="15" t="str">
        <f t="shared" ca="1" si="12"/>
        <v>R$ 91,92 x 4 Parcelas</v>
      </c>
      <c r="AJ67" s="41">
        <f t="shared" si="13"/>
        <v>857.62</v>
      </c>
      <c r="AK67" s="42">
        <f t="shared" si="14"/>
        <v>1225.5900000000001</v>
      </c>
      <c r="AL67" s="43">
        <f t="shared" ca="1" si="15"/>
        <v>1103.0310000000002</v>
      </c>
      <c r="AM67" s="43">
        <f t="shared" ca="1" si="16"/>
        <v>735.35400000000004</v>
      </c>
      <c r="AN67" s="43">
        <f t="shared" ca="1" si="17"/>
        <v>245.41100000000017</v>
      </c>
      <c r="AO67" s="44" t="str">
        <f t="shared" ca="1" si="18"/>
        <v>R$ 61,35 x 4 Parcelas</v>
      </c>
    </row>
    <row r="68" spans="1:41" x14ac:dyDescent="0.3">
      <c r="A68" t="s">
        <v>143</v>
      </c>
      <c r="B68" t="s">
        <v>21</v>
      </c>
      <c r="C68" t="s">
        <v>144</v>
      </c>
      <c r="D68" t="s">
        <v>36</v>
      </c>
      <c r="E68" t="s">
        <v>21</v>
      </c>
      <c r="F68" t="s">
        <v>145</v>
      </c>
      <c r="G68" s="1">
        <v>25</v>
      </c>
      <c r="H68" t="s">
        <v>146</v>
      </c>
      <c r="I68" t="s">
        <v>29</v>
      </c>
      <c r="J68" s="1">
        <v>79022066</v>
      </c>
      <c r="K68" t="s">
        <v>21</v>
      </c>
      <c r="L68" t="s">
        <v>30</v>
      </c>
      <c r="M68" s="1">
        <v>6</v>
      </c>
      <c r="N68" s="4">
        <v>42592</v>
      </c>
      <c r="O68" s="2">
        <v>295.3</v>
      </c>
      <c r="P68" s="2">
        <v>688.25</v>
      </c>
      <c r="Q68" s="2">
        <v>0</v>
      </c>
      <c r="R68" s="2">
        <f t="shared" si="19"/>
        <v>983.55</v>
      </c>
      <c r="S68" t="s">
        <v>31</v>
      </c>
      <c r="T68" t="s">
        <v>0</v>
      </c>
      <c r="U68" s="5">
        <f t="shared" ref="U68:U131" ca="1" si="22">TODAY()-N68</f>
        <v>3498</v>
      </c>
      <c r="V68" s="37">
        <f t="shared" ca="1" si="21"/>
        <v>0</v>
      </c>
      <c r="W68" s="38">
        <f t="shared" ref="W68:W131" ca="1" si="23">O68+V68</f>
        <v>295.3</v>
      </c>
      <c r="X68" s="38">
        <f t="shared" ref="X68:X131" ca="1" si="24">W68 * (1 - VLOOKUP(U68, $BC$3:$BG$11, 3, TRUE))</f>
        <v>265.77000000000004</v>
      </c>
      <c r="Y68" s="39">
        <f t="shared" ca="1" si="20"/>
        <v>132.88500000000002</v>
      </c>
      <c r="Z68" s="39">
        <f t="shared" ref="Z68:Z131" ca="1" si="25">W68-Y68</f>
        <v>162.41499999999999</v>
      </c>
      <c r="AA68" s="40" t="str">
        <f t="shared" ref="AA68:AA99" ca="1" si="26">(TEXT(Z68/VLOOKUP(U68,$BC$4:$BG$11,5,1),"R$ #.##0,00")&amp;" x "&amp;VLOOKUP(U68,$BC$3:$BG$11,5,1)&amp;" Parcelas")</f>
        <v>R$ 40,60 x 4 Parcelas</v>
      </c>
      <c r="AC68" s="17">
        <f t="shared" ref="AC68:AC131" si="27">P68+Q89</f>
        <v>688.25</v>
      </c>
      <c r="AD68" s="17">
        <f t="shared" ref="AD68:AD131" si="28">R68</f>
        <v>983.55</v>
      </c>
      <c r="AE68" s="17">
        <f t="shared" ref="AE68:AE131" ca="1" si="29">AD68 * (1 - VLOOKUP(U68, $AQ$3:$AU$11, 3, TRUE))</f>
        <v>836.01749999999993</v>
      </c>
      <c r="AF68" s="17">
        <f t="shared" ref="AF68:AF131" ca="1" si="30">AD68 * (1 - VLOOKUP(U68, $AQ$3:$AU$11, 4, TRUE))</f>
        <v>688.4849999999999</v>
      </c>
      <c r="AG68" s="17">
        <f t="shared" ref="AG68:AG131" ca="1" si="31">AD68-AF68</f>
        <v>295.06500000000005</v>
      </c>
      <c r="AH68" s="15" t="str">
        <f t="shared" ref="AH68:AH131" ca="1" si="32">(TEXT(AG68/VLOOKUP(U68,$AQ$4:$AU$11,5,1),"R$ #.##0,00")&amp;" x "&amp;VLOOKUP(U68,$AQ$4:$AU$11,5,1)&amp;" Parcelas")</f>
        <v>R$ 73,77 x 4 Parcelas</v>
      </c>
      <c r="AJ68" s="41">
        <f t="shared" ref="AJ68:AJ131" si="33">P68+Q89</f>
        <v>688.25</v>
      </c>
      <c r="AK68" s="42">
        <f t="shared" ref="AK68:AK131" si="34">R68</f>
        <v>983.55</v>
      </c>
      <c r="AL68" s="43">
        <f t="shared" ref="AL68:AL131" ca="1" si="35">AK68 * (1 - VLOOKUP(U68, $AW$4:$BA$12, 3, TRUE))</f>
        <v>885.19499999999994</v>
      </c>
      <c r="AM68" s="43">
        <f t="shared" ref="AM68:AM131" ca="1" si="36">AK68 * (1 - VLOOKUP(U68, $AW$4:$BA$12, 4, TRUE))</f>
        <v>590.13</v>
      </c>
      <c r="AN68" s="43">
        <f t="shared" ref="AN68:AN131" ca="1" si="37">AL68-AJ68</f>
        <v>196.94499999999994</v>
      </c>
      <c r="AO68" s="44" t="str">
        <f t="shared" ref="AO68:AO131" ca="1" si="38">(TEXT(AN68/VLOOKUP(U68,$AW$4:$BA$12,5,1),"R$ #.##0,00")&amp;" x "&amp;VLOOKUP(U68,$AQ$4:$AU$11,5,1)&amp;" Parcelas")</f>
        <v>R$ 49,24 x 4 Parcelas</v>
      </c>
    </row>
    <row r="69" spans="1:41" x14ac:dyDescent="0.3">
      <c r="A69" t="s">
        <v>173</v>
      </c>
      <c r="B69" t="s">
        <v>174</v>
      </c>
      <c r="C69" t="s">
        <v>175</v>
      </c>
      <c r="D69" t="s">
        <v>176</v>
      </c>
      <c r="E69" t="s">
        <v>177</v>
      </c>
      <c r="F69" t="s">
        <v>178</v>
      </c>
      <c r="G69" s="1">
        <v>311</v>
      </c>
      <c r="H69" t="s">
        <v>179</v>
      </c>
      <c r="I69" t="s">
        <v>29</v>
      </c>
      <c r="J69" s="1">
        <v>79080200</v>
      </c>
      <c r="K69" t="s">
        <v>180</v>
      </c>
      <c r="L69" t="s">
        <v>48</v>
      </c>
      <c r="M69" s="1">
        <v>1</v>
      </c>
      <c r="N69" s="4">
        <v>42709</v>
      </c>
      <c r="O69" s="2">
        <v>203.36</v>
      </c>
      <c r="P69" s="2">
        <v>458.1</v>
      </c>
      <c r="Q69" s="2">
        <v>0</v>
      </c>
      <c r="R69" s="2">
        <f t="shared" ref="R69:R132" si="39">O69+P69</f>
        <v>661.46</v>
      </c>
      <c r="S69" t="s">
        <v>31</v>
      </c>
      <c r="T69" t="s">
        <v>0</v>
      </c>
      <c r="U69" s="5">
        <f t="shared" ca="1" si="22"/>
        <v>3381</v>
      </c>
      <c r="V69" s="37">
        <f t="shared" ca="1" si="21"/>
        <v>0</v>
      </c>
      <c r="W69" s="38">
        <f t="shared" ca="1" si="23"/>
        <v>203.36</v>
      </c>
      <c r="X69" s="38">
        <f t="shared" ca="1" si="24"/>
        <v>183.02400000000003</v>
      </c>
      <c r="Y69" s="39">
        <f t="shared" ca="1" si="20"/>
        <v>91.512000000000015</v>
      </c>
      <c r="Z69" s="39">
        <f t="shared" ca="1" si="25"/>
        <v>111.848</v>
      </c>
      <c r="AA69" s="40" t="str">
        <f t="shared" ca="1" si="26"/>
        <v>R$ 27,96 x 4 Parcelas</v>
      </c>
      <c r="AC69" s="17">
        <f t="shared" si="27"/>
        <v>458.1</v>
      </c>
      <c r="AD69" s="17">
        <f t="shared" si="28"/>
        <v>661.46</v>
      </c>
      <c r="AE69" s="17">
        <f t="shared" ca="1" si="29"/>
        <v>562.24099999999999</v>
      </c>
      <c r="AF69" s="17">
        <f t="shared" ca="1" si="30"/>
        <v>463.02199999999999</v>
      </c>
      <c r="AG69" s="17">
        <f t="shared" ca="1" si="31"/>
        <v>198.43800000000005</v>
      </c>
      <c r="AH69" s="15" t="str">
        <f t="shared" ca="1" si="32"/>
        <v>R$ 49,61 x 4 Parcelas</v>
      </c>
      <c r="AJ69" s="41">
        <f t="shared" si="33"/>
        <v>458.1</v>
      </c>
      <c r="AK69" s="42">
        <f t="shared" si="34"/>
        <v>661.46</v>
      </c>
      <c r="AL69" s="43">
        <f t="shared" ca="1" si="35"/>
        <v>595.31400000000008</v>
      </c>
      <c r="AM69" s="43">
        <f t="shared" ca="1" si="36"/>
        <v>396.87600000000003</v>
      </c>
      <c r="AN69" s="43">
        <f t="shared" ca="1" si="37"/>
        <v>137.21400000000006</v>
      </c>
      <c r="AO69" s="44" t="str">
        <f t="shared" ca="1" si="38"/>
        <v>R$ 34,30 x 4 Parcelas</v>
      </c>
    </row>
    <row r="70" spans="1:41" x14ac:dyDescent="0.3">
      <c r="A70" t="s">
        <v>173</v>
      </c>
      <c r="B70" t="s">
        <v>174</v>
      </c>
      <c r="C70" t="s">
        <v>175</v>
      </c>
      <c r="D70" t="s">
        <v>176</v>
      </c>
      <c r="E70" t="s">
        <v>177</v>
      </c>
      <c r="F70" t="s">
        <v>178</v>
      </c>
      <c r="G70" s="1">
        <v>311</v>
      </c>
      <c r="H70" t="s">
        <v>179</v>
      </c>
      <c r="I70" t="s">
        <v>29</v>
      </c>
      <c r="J70" s="1">
        <v>79080200</v>
      </c>
      <c r="K70" t="s">
        <v>180</v>
      </c>
      <c r="L70" t="s">
        <v>48</v>
      </c>
      <c r="M70" s="1">
        <v>1</v>
      </c>
      <c r="N70" s="4">
        <v>42709</v>
      </c>
      <c r="O70" s="2">
        <v>40.36</v>
      </c>
      <c r="P70" s="2">
        <v>90.92</v>
      </c>
      <c r="Q70" s="2">
        <v>0</v>
      </c>
      <c r="R70" s="2">
        <f t="shared" si="39"/>
        <v>131.28</v>
      </c>
      <c r="S70" t="s">
        <v>31</v>
      </c>
      <c r="T70" t="s">
        <v>32</v>
      </c>
      <c r="U70" s="5">
        <f t="shared" ca="1" si="22"/>
        <v>3381</v>
      </c>
      <c r="V70" s="37">
        <f t="shared" ca="1" si="21"/>
        <v>0</v>
      </c>
      <c r="W70" s="38">
        <f t="shared" ca="1" si="23"/>
        <v>40.36</v>
      </c>
      <c r="X70" s="38">
        <f t="shared" ca="1" si="24"/>
        <v>36.323999999999998</v>
      </c>
      <c r="Y70" s="39">
        <f t="shared" ca="1" si="20"/>
        <v>18.161999999999999</v>
      </c>
      <c r="Z70" s="39">
        <f t="shared" ca="1" si="25"/>
        <v>22.198</v>
      </c>
      <c r="AA70" s="40" t="str">
        <f t="shared" ca="1" si="26"/>
        <v>R$ 5,55 x 4 Parcelas</v>
      </c>
      <c r="AC70" s="17">
        <f t="shared" si="27"/>
        <v>90.92</v>
      </c>
      <c r="AD70" s="17">
        <f t="shared" si="28"/>
        <v>131.28</v>
      </c>
      <c r="AE70" s="17">
        <f t="shared" ca="1" si="29"/>
        <v>111.58799999999999</v>
      </c>
      <c r="AF70" s="17">
        <f t="shared" ca="1" si="30"/>
        <v>91.896000000000001</v>
      </c>
      <c r="AG70" s="17">
        <f t="shared" ca="1" si="31"/>
        <v>39.384</v>
      </c>
      <c r="AH70" s="15" t="str">
        <f t="shared" ca="1" si="32"/>
        <v>R$ 9,85 x 4 Parcelas</v>
      </c>
      <c r="AJ70" s="41">
        <f t="shared" si="33"/>
        <v>90.92</v>
      </c>
      <c r="AK70" s="42">
        <f t="shared" si="34"/>
        <v>131.28</v>
      </c>
      <c r="AL70" s="43">
        <f t="shared" ca="1" si="35"/>
        <v>118.152</v>
      </c>
      <c r="AM70" s="43">
        <f t="shared" ca="1" si="36"/>
        <v>78.768000000000001</v>
      </c>
      <c r="AN70" s="43">
        <f t="shared" ca="1" si="37"/>
        <v>27.231999999999999</v>
      </c>
      <c r="AO70" s="44" t="str">
        <f t="shared" ca="1" si="38"/>
        <v>R$ 6,81 x 4 Parcelas</v>
      </c>
    </row>
    <row r="71" spans="1:41" x14ac:dyDescent="0.3">
      <c r="A71" t="s">
        <v>181</v>
      </c>
      <c r="B71" t="s">
        <v>21</v>
      </c>
      <c r="C71" t="s">
        <v>182</v>
      </c>
      <c r="D71" t="s">
        <v>183</v>
      </c>
      <c r="E71" t="s">
        <v>184</v>
      </c>
      <c r="F71" t="s">
        <v>185</v>
      </c>
      <c r="G71" t="s">
        <v>21</v>
      </c>
      <c r="H71" t="s">
        <v>82</v>
      </c>
      <c r="I71" t="s">
        <v>29</v>
      </c>
      <c r="J71" s="1">
        <v>79004260</v>
      </c>
      <c r="K71" t="s">
        <v>21</v>
      </c>
      <c r="L71" t="s">
        <v>30</v>
      </c>
      <c r="M71" s="1">
        <v>1</v>
      </c>
      <c r="N71" s="4">
        <v>42740</v>
      </c>
      <c r="O71" s="2">
        <v>348.4</v>
      </c>
      <c r="P71" s="2">
        <v>777.63</v>
      </c>
      <c r="Q71" s="2">
        <v>0</v>
      </c>
      <c r="R71" s="2">
        <f t="shared" si="39"/>
        <v>1126.03</v>
      </c>
      <c r="S71" t="s">
        <v>31</v>
      </c>
      <c r="T71" t="s">
        <v>0</v>
      </c>
      <c r="U71" s="5">
        <f t="shared" ca="1" si="22"/>
        <v>3350</v>
      </c>
      <c r="V71" s="37">
        <f t="shared" ca="1" si="21"/>
        <v>0</v>
      </c>
      <c r="W71" s="38">
        <f t="shared" ca="1" si="23"/>
        <v>348.4</v>
      </c>
      <c r="X71" s="38">
        <f t="shared" ca="1" si="24"/>
        <v>313.56</v>
      </c>
      <c r="Y71" s="39">
        <f t="shared" ca="1" si="20"/>
        <v>156.78</v>
      </c>
      <c r="Z71" s="39">
        <f t="shared" ca="1" si="25"/>
        <v>191.61999999999998</v>
      </c>
      <c r="AA71" s="40" t="str">
        <f t="shared" ca="1" si="26"/>
        <v>R$ 47,91 x 4 Parcelas</v>
      </c>
      <c r="AC71" s="17">
        <f t="shared" si="27"/>
        <v>777.63</v>
      </c>
      <c r="AD71" s="17">
        <f t="shared" si="28"/>
        <v>1126.03</v>
      </c>
      <c r="AE71" s="17">
        <f t="shared" ca="1" si="29"/>
        <v>957.12549999999999</v>
      </c>
      <c r="AF71" s="17">
        <f t="shared" ca="1" si="30"/>
        <v>788.22099999999989</v>
      </c>
      <c r="AG71" s="17">
        <f t="shared" ca="1" si="31"/>
        <v>337.80900000000008</v>
      </c>
      <c r="AH71" s="15" t="str">
        <f t="shared" ca="1" si="32"/>
        <v>R$ 84,45 x 4 Parcelas</v>
      </c>
      <c r="AJ71" s="41">
        <f t="shared" si="33"/>
        <v>777.63</v>
      </c>
      <c r="AK71" s="42">
        <f t="shared" si="34"/>
        <v>1126.03</v>
      </c>
      <c r="AL71" s="43">
        <f t="shared" ca="1" si="35"/>
        <v>1013.427</v>
      </c>
      <c r="AM71" s="43">
        <f t="shared" ca="1" si="36"/>
        <v>675.61799999999994</v>
      </c>
      <c r="AN71" s="43">
        <f t="shared" ca="1" si="37"/>
        <v>235.79700000000003</v>
      </c>
      <c r="AO71" s="44" t="str">
        <f t="shared" ca="1" si="38"/>
        <v>R$ 58,95 x 4 Parcelas</v>
      </c>
    </row>
    <row r="72" spans="1:41" x14ac:dyDescent="0.3">
      <c r="A72" t="s">
        <v>186</v>
      </c>
      <c r="B72" t="s">
        <v>21</v>
      </c>
      <c r="C72" t="s">
        <v>187</v>
      </c>
      <c r="D72" t="s">
        <v>188</v>
      </c>
      <c r="E72" t="s">
        <v>21</v>
      </c>
      <c r="F72" t="s">
        <v>189</v>
      </c>
      <c r="G72" s="1">
        <v>122</v>
      </c>
      <c r="H72" t="s">
        <v>190</v>
      </c>
      <c r="I72" t="s">
        <v>29</v>
      </c>
      <c r="J72" s="1">
        <v>79042410</v>
      </c>
      <c r="K72" t="s">
        <v>21</v>
      </c>
      <c r="L72" t="s">
        <v>30</v>
      </c>
      <c r="M72" s="1">
        <v>1</v>
      </c>
      <c r="N72" s="4">
        <v>42740</v>
      </c>
      <c r="O72" s="2">
        <v>150.55000000000001</v>
      </c>
      <c r="P72" s="2">
        <v>336.03</v>
      </c>
      <c r="Q72" s="2">
        <v>0</v>
      </c>
      <c r="R72" s="2">
        <f t="shared" si="39"/>
        <v>486.58</v>
      </c>
      <c r="S72" t="s">
        <v>31</v>
      </c>
      <c r="T72" t="s">
        <v>0</v>
      </c>
      <c r="U72" s="5">
        <f t="shared" ca="1" si="22"/>
        <v>3350</v>
      </c>
      <c r="V72" s="37">
        <f t="shared" ca="1" si="21"/>
        <v>0</v>
      </c>
      <c r="W72" s="38">
        <f t="shared" ca="1" si="23"/>
        <v>150.55000000000001</v>
      </c>
      <c r="X72" s="38">
        <f t="shared" ca="1" si="24"/>
        <v>135.495</v>
      </c>
      <c r="Y72" s="39">
        <f t="shared" ca="1" si="20"/>
        <v>67.747500000000002</v>
      </c>
      <c r="Z72" s="39">
        <f t="shared" ca="1" si="25"/>
        <v>82.802500000000009</v>
      </c>
      <c r="AA72" s="40" t="str">
        <f t="shared" ca="1" si="26"/>
        <v>R$ 20,70 x 4 Parcelas</v>
      </c>
      <c r="AC72" s="17">
        <f t="shared" si="27"/>
        <v>336.03</v>
      </c>
      <c r="AD72" s="17">
        <f t="shared" si="28"/>
        <v>486.58</v>
      </c>
      <c r="AE72" s="17">
        <f t="shared" ca="1" si="29"/>
        <v>413.59299999999996</v>
      </c>
      <c r="AF72" s="17">
        <f t="shared" ca="1" si="30"/>
        <v>340.60599999999999</v>
      </c>
      <c r="AG72" s="17">
        <f t="shared" ca="1" si="31"/>
        <v>145.97399999999999</v>
      </c>
      <c r="AH72" s="15" t="str">
        <f t="shared" ca="1" si="32"/>
        <v>R$ 36,49 x 4 Parcelas</v>
      </c>
      <c r="AJ72" s="41">
        <f t="shared" si="33"/>
        <v>336.03</v>
      </c>
      <c r="AK72" s="42">
        <f t="shared" si="34"/>
        <v>486.58</v>
      </c>
      <c r="AL72" s="43">
        <f t="shared" ca="1" si="35"/>
        <v>437.92199999999997</v>
      </c>
      <c r="AM72" s="43">
        <f t="shared" ca="1" si="36"/>
        <v>291.94799999999998</v>
      </c>
      <c r="AN72" s="43">
        <f t="shared" ca="1" si="37"/>
        <v>101.892</v>
      </c>
      <c r="AO72" s="44" t="str">
        <f t="shared" ca="1" si="38"/>
        <v>R$ 25,47 x 4 Parcelas</v>
      </c>
    </row>
    <row r="73" spans="1:41" x14ac:dyDescent="0.3">
      <c r="A73" t="s">
        <v>186</v>
      </c>
      <c r="B73" t="s">
        <v>21</v>
      </c>
      <c r="C73" t="s">
        <v>187</v>
      </c>
      <c r="D73" t="s">
        <v>188</v>
      </c>
      <c r="E73" t="s">
        <v>21</v>
      </c>
      <c r="F73" t="s">
        <v>189</v>
      </c>
      <c r="G73" s="1">
        <v>122</v>
      </c>
      <c r="H73" t="s">
        <v>190</v>
      </c>
      <c r="I73" t="s">
        <v>29</v>
      </c>
      <c r="J73" s="1">
        <v>79042410</v>
      </c>
      <c r="K73" t="s">
        <v>21</v>
      </c>
      <c r="L73" t="s">
        <v>30</v>
      </c>
      <c r="M73" s="1">
        <v>1</v>
      </c>
      <c r="N73" s="4">
        <v>42740</v>
      </c>
      <c r="O73" s="2">
        <v>35.380000000000003</v>
      </c>
      <c r="P73" s="2">
        <v>78.97</v>
      </c>
      <c r="Q73" s="2">
        <v>0</v>
      </c>
      <c r="R73" s="2">
        <f t="shared" si="39"/>
        <v>114.35</v>
      </c>
      <c r="S73" t="s">
        <v>31</v>
      </c>
      <c r="T73" t="s">
        <v>32</v>
      </c>
      <c r="U73" s="5">
        <f t="shared" ca="1" si="22"/>
        <v>3350</v>
      </c>
      <c r="V73" s="37">
        <f t="shared" ca="1" si="21"/>
        <v>0</v>
      </c>
      <c r="W73" s="38">
        <f t="shared" ca="1" si="23"/>
        <v>35.380000000000003</v>
      </c>
      <c r="X73" s="38">
        <f t="shared" ca="1" si="24"/>
        <v>31.842000000000002</v>
      </c>
      <c r="Y73" s="39">
        <f t="shared" ca="1" si="20"/>
        <v>15.921000000000001</v>
      </c>
      <c r="Z73" s="39">
        <f t="shared" ca="1" si="25"/>
        <v>19.459000000000003</v>
      </c>
      <c r="AA73" s="40" t="str">
        <f t="shared" ca="1" si="26"/>
        <v>R$ 4,86 x 4 Parcelas</v>
      </c>
      <c r="AC73" s="17">
        <f t="shared" si="27"/>
        <v>78.97</v>
      </c>
      <c r="AD73" s="17">
        <f t="shared" si="28"/>
        <v>114.35</v>
      </c>
      <c r="AE73" s="17">
        <f t="shared" ca="1" si="29"/>
        <v>97.197499999999991</v>
      </c>
      <c r="AF73" s="17">
        <f t="shared" ca="1" si="30"/>
        <v>80.044999999999987</v>
      </c>
      <c r="AG73" s="17">
        <f t="shared" ca="1" si="31"/>
        <v>34.305000000000007</v>
      </c>
      <c r="AH73" s="15" t="str">
        <f t="shared" ca="1" si="32"/>
        <v>R$ 8,58 x 4 Parcelas</v>
      </c>
      <c r="AJ73" s="41">
        <f t="shared" si="33"/>
        <v>78.97</v>
      </c>
      <c r="AK73" s="42">
        <f t="shared" si="34"/>
        <v>114.35</v>
      </c>
      <c r="AL73" s="43">
        <f t="shared" ca="1" si="35"/>
        <v>102.91499999999999</v>
      </c>
      <c r="AM73" s="43">
        <f t="shared" ca="1" si="36"/>
        <v>68.61</v>
      </c>
      <c r="AN73" s="43">
        <f t="shared" ca="1" si="37"/>
        <v>23.944999999999993</v>
      </c>
      <c r="AO73" s="44" t="str">
        <f t="shared" ca="1" si="38"/>
        <v>R$ 5,99 x 4 Parcelas</v>
      </c>
    </row>
    <row r="74" spans="1:41" x14ac:dyDescent="0.3">
      <c r="A74" t="s">
        <v>191</v>
      </c>
      <c r="B74" t="s">
        <v>192</v>
      </c>
      <c r="C74" t="s">
        <v>193</v>
      </c>
      <c r="D74" t="s">
        <v>36</v>
      </c>
      <c r="E74" t="s">
        <v>194</v>
      </c>
      <c r="F74" t="s">
        <v>195</v>
      </c>
      <c r="G74" s="1">
        <v>139</v>
      </c>
      <c r="H74" t="s">
        <v>196</v>
      </c>
      <c r="I74" t="s">
        <v>29</v>
      </c>
      <c r="J74" s="1">
        <v>79003140</v>
      </c>
      <c r="K74" t="s">
        <v>21</v>
      </c>
      <c r="L74" t="s">
        <v>30</v>
      </c>
      <c r="M74" s="1">
        <v>5</v>
      </c>
      <c r="N74" s="4">
        <v>42896</v>
      </c>
      <c r="O74" s="2">
        <v>327.18</v>
      </c>
      <c r="P74" s="2">
        <v>695.8</v>
      </c>
      <c r="Q74" s="2">
        <v>0</v>
      </c>
      <c r="R74" s="2">
        <f t="shared" si="39"/>
        <v>1022.98</v>
      </c>
      <c r="S74" t="s">
        <v>31</v>
      </c>
      <c r="T74" t="s">
        <v>0</v>
      </c>
      <c r="U74" s="5">
        <f t="shared" ca="1" si="22"/>
        <v>3194</v>
      </c>
      <c r="V74" s="37">
        <f t="shared" ca="1" si="21"/>
        <v>0</v>
      </c>
      <c r="W74" s="38">
        <f t="shared" ca="1" si="23"/>
        <v>327.18</v>
      </c>
      <c r="X74" s="38">
        <f t="shared" ca="1" si="24"/>
        <v>297.73380000000003</v>
      </c>
      <c r="Y74" s="39">
        <f t="shared" ca="1" si="20"/>
        <v>147.23099999999999</v>
      </c>
      <c r="Z74" s="39">
        <f t="shared" ca="1" si="25"/>
        <v>179.94900000000001</v>
      </c>
      <c r="AA74" s="40" t="str">
        <f t="shared" ca="1" si="26"/>
        <v>R$ 44,99 x 4 Parcelas</v>
      </c>
      <c r="AC74" s="17">
        <f t="shared" si="27"/>
        <v>695.8</v>
      </c>
      <c r="AD74" s="17">
        <f t="shared" si="28"/>
        <v>1022.98</v>
      </c>
      <c r="AE74" s="17">
        <f t="shared" ca="1" si="29"/>
        <v>869.53300000000002</v>
      </c>
      <c r="AF74" s="17">
        <f t="shared" ca="1" si="30"/>
        <v>716.08600000000001</v>
      </c>
      <c r="AG74" s="17">
        <f t="shared" ca="1" si="31"/>
        <v>306.89400000000001</v>
      </c>
      <c r="AH74" s="15" t="str">
        <f t="shared" ca="1" si="32"/>
        <v>R$ 76,72 x 4 Parcelas</v>
      </c>
      <c r="AJ74" s="41">
        <f t="shared" si="33"/>
        <v>695.8</v>
      </c>
      <c r="AK74" s="42">
        <f t="shared" si="34"/>
        <v>1022.98</v>
      </c>
      <c r="AL74" s="43">
        <f t="shared" ca="1" si="35"/>
        <v>920.68200000000002</v>
      </c>
      <c r="AM74" s="43">
        <f t="shared" ca="1" si="36"/>
        <v>613.78800000000001</v>
      </c>
      <c r="AN74" s="43">
        <f t="shared" ca="1" si="37"/>
        <v>224.88200000000006</v>
      </c>
      <c r="AO74" s="44" t="str">
        <f t="shared" ca="1" si="38"/>
        <v>R$ 56,22 x 4 Parcelas</v>
      </c>
    </row>
    <row r="75" spans="1:41" x14ac:dyDescent="0.3">
      <c r="A75" t="s">
        <v>191</v>
      </c>
      <c r="B75" t="s">
        <v>192</v>
      </c>
      <c r="C75" t="s">
        <v>193</v>
      </c>
      <c r="D75" t="s">
        <v>36</v>
      </c>
      <c r="E75" t="s">
        <v>194</v>
      </c>
      <c r="F75" t="s">
        <v>195</v>
      </c>
      <c r="G75" s="1">
        <v>139</v>
      </c>
      <c r="H75" t="s">
        <v>196</v>
      </c>
      <c r="I75" t="s">
        <v>29</v>
      </c>
      <c r="J75" s="1">
        <v>79003140</v>
      </c>
      <c r="K75" t="s">
        <v>21</v>
      </c>
      <c r="L75" t="s">
        <v>30</v>
      </c>
      <c r="M75" s="1">
        <v>5</v>
      </c>
      <c r="N75" s="4">
        <v>42896</v>
      </c>
      <c r="O75" s="2">
        <v>246.62</v>
      </c>
      <c r="P75" s="2">
        <v>524.48</v>
      </c>
      <c r="Q75" s="2">
        <v>0</v>
      </c>
      <c r="R75" s="2">
        <f t="shared" si="39"/>
        <v>771.1</v>
      </c>
      <c r="S75" t="s">
        <v>31</v>
      </c>
      <c r="T75" t="s">
        <v>0</v>
      </c>
      <c r="U75" s="5">
        <f t="shared" ca="1" si="22"/>
        <v>3194</v>
      </c>
      <c r="V75" s="37">
        <f t="shared" ca="1" si="21"/>
        <v>0</v>
      </c>
      <c r="W75" s="38">
        <f t="shared" ca="1" si="23"/>
        <v>246.62</v>
      </c>
      <c r="X75" s="38">
        <f t="shared" ca="1" si="24"/>
        <v>224.42420000000001</v>
      </c>
      <c r="Y75" s="39">
        <f t="shared" ca="1" si="20"/>
        <v>110.979</v>
      </c>
      <c r="Z75" s="39">
        <f t="shared" ca="1" si="25"/>
        <v>135.64100000000002</v>
      </c>
      <c r="AA75" s="40" t="str">
        <f t="shared" ca="1" si="26"/>
        <v>R$ 33,91 x 4 Parcelas</v>
      </c>
      <c r="AC75" s="17">
        <f t="shared" si="27"/>
        <v>524.48</v>
      </c>
      <c r="AD75" s="17">
        <f t="shared" si="28"/>
        <v>771.1</v>
      </c>
      <c r="AE75" s="17">
        <f t="shared" ca="1" si="29"/>
        <v>655.43499999999995</v>
      </c>
      <c r="AF75" s="17">
        <f t="shared" ca="1" si="30"/>
        <v>539.77</v>
      </c>
      <c r="AG75" s="17">
        <f t="shared" ca="1" si="31"/>
        <v>231.33000000000004</v>
      </c>
      <c r="AH75" s="15" t="str">
        <f t="shared" ca="1" si="32"/>
        <v>R$ 57,83 x 4 Parcelas</v>
      </c>
      <c r="AJ75" s="41">
        <f t="shared" si="33"/>
        <v>524.48</v>
      </c>
      <c r="AK75" s="42">
        <f t="shared" si="34"/>
        <v>771.1</v>
      </c>
      <c r="AL75" s="43">
        <f t="shared" ca="1" si="35"/>
        <v>693.99</v>
      </c>
      <c r="AM75" s="43">
        <f t="shared" ca="1" si="36"/>
        <v>462.65999999999997</v>
      </c>
      <c r="AN75" s="43">
        <f t="shared" ca="1" si="37"/>
        <v>169.51</v>
      </c>
      <c r="AO75" s="44" t="str">
        <f t="shared" ca="1" si="38"/>
        <v>R$ 42,38 x 4 Parcelas</v>
      </c>
    </row>
    <row r="76" spans="1:41" x14ac:dyDescent="0.3">
      <c r="A76" t="s">
        <v>197</v>
      </c>
      <c r="B76" t="s">
        <v>198</v>
      </c>
      <c r="C76" t="s">
        <v>199</v>
      </c>
      <c r="D76" t="s">
        <v>200</v>
      </c>
      <c r="E76" t="s">
        <v>201</v>
      </c>
      <c r="F76" t="s">
        <v>202</v>
      </c>
      <c r="G76" s="1">
        <v>32</v>
      </c>
      <c r="H76" t="s">
        <v>203</v>
      </c>
      <c r="I76" t="s">
        <v>29</v>
      </c>
      <c r="J76" t="s">
        <v>204</v>
      </c>
      <c r="K76" t="s">
        <v>21</v>
      </c>
      <c r="L76" t="s">
        <v>48</v>
      </c>
      <c r="M76" s="1">
        <v>1</v>
      </c>
      <c r="N76" s="4">
        <v>42921</v>
      </c>
      <c r="O76" s="2">
        <v>344.91</v>
      </c>
      <c r="P76" s="2">
        <v>728.22</v>
      </c>
      <c r="Q76" s="2">
        <v>0</v>
      </c>
      <c r="R76" s="2">
        <f t="shared" si="39"/>
        <v>1073.1300000000001</v>
      </c>
      <c r="S76" t="s">
        <v>31</v>
      </c>
      <c r="T76" t="s">
        <v>53</v>
      </c>
      <c r="U76" s="5">
        <f t="shared" ca="1" si="22"/>
        <v>3169</v>
      </c>
      <c r="V76" s="37">
        <f t="shared" ca="1" si="21"/>
        <v>0</v>
      </c>
      <c r="W76" s="38">
        <f t="shared" ca="1" si="23"/>
        <v>344.91</v>
      </c>
      <c r="X76" s="38">
        <f t="shared" ca="1" si="24"/>
        <v>313.86810000000003</v>
      </c>
      <c r="Y76" s="39">
        <f t="shared" ca="1" si="20"/>
        <v>155.20950000000002</v>
      </c>
      <c r="Z76" s="39">
        <f t="shared" ca="1" si="25"/>
        <v>189.70050000000001</v>
      </c>
      <c r="AA76" s="40" t="str">
        <f t="shared" ca="1" si="26"/>
        <v>R$ 47,43 x 4 Parcelas</v>
      </c>
      <c r="AC76" s="17">
        <f t="shared" si="27"/>
        <v>728.22</v>
      </c>
      <c r="AD76" s="17">
        <f t="shared" si="28"/>
        <v>1073.1300000000001</v>
      </c>
      <c r="AE76" s="17">
        <f t="shared" ca="1" si="29"/>
        <v>912.16050000000007</v>
      </c>
      <c r="AF76" s="17">
        <f t="shared" ca="1" si="30"/>
        <v>751.19100000000003</v>
      </c>
      <c r="AG76" s="17">
        <f t="shared" ca="1" si="31"/>
        <v>321.93900000000008</v>
      </c>
      <c r="AH76" s="15" t="str">
        <f t="shared" ca="1" si="32"/>
        <v>R$ 80,48 x 4 Parcelas</v>
      </c>
      <c r="AJ76" s="41">
        <f t="shared" si="33"/>
        <v>728.22</v>
      </c>
      <c r="AK76" s="42">
        <f t="shared" si="34"/>
        <v>1073.1300000000001</v>
      </c>
      <c r="AL76" s="43">
        <f t="shared" ca="1" si="35"/>
        <v>965.81700000000012</v>
      </c>
      <c r="AM76" s="43">
        <f t="shared" ca="1" si="36"/>
        <v>643.87800000000004</v>
      </c>
      <c r="AN76" s="43">
        <f t="shared" ca="1" si="37"/>
        <v>237.59700000000009</v>
      </c>
      <c r="AO76" s="44" t="str">
        <f t="shared" ca="1" si="38"/>
        <v>R$ 59,40 x 4 Parcelas</v>
      </c>
    </row>
    <row r="77" spans="1:41" x14ac:dyDescent="0.3">
      <c r="A77" t="s">
        <v>191</v>
      </c>
      <c r="B77" t="s">
        <v>192</v>
      </c>
      <c r="C77" t="s">
        <v>193</v>
      </c>
      <c r="D77" t="s">
        <v>36</v>
      </c>
      <c r="E77" t="s">
        <v>194</v>
      </c>
      <c r="F77" t="s">
        <v>195</v>
      </c>
      <c r="G77" s="1">
        <v>139</v>
      </c>
      <c r="H77" t="s">
        <v>196</v>
      </c>
      <c r="I77" t="s">
        <v>29</v>
      </c>
      <c r="J77" s="1">
        <v>79003140</v>
      </c>
      <c r="K77" t="s">
        <v>21</v>
      </c>
      <c r="L77" t="s">
        <v>30</v>
      </c>
      <c r="M77" s="1">
        <v>6</v>
      </c>
      <c r="N77" s="4">
        <v>42926</v>
      </c>
      <c r="O77" s="2">
        <v>327.18</v>
      </c>
      <c r="P77" s="2">
        <v>689.7</v>
      </c>
      <c r="Q77" s="2">
        <v>0</v>
      </c>
      <c r="R77" s="2">
        <f t="shared" si="39"/>
        <v>1016.8800000000001</v>
      </c>
      <c r="S77" t="s">
        <v>31</v>
      </c>
      <c r="T77" t="s">
        <v>0</v>
      </c>
      <c r="U77" s="5">
        <f t="shared" ca="1" si="22"/>
        <v>3164</v>
      </c>
      <c r="V77" s="37">
        <f t="shared" ca="1" si="21"/>
        <v>0</v>
      </c>
      <c r="W77" s="38">
        <f t="shared" ca="1" si="23"/>
        <v>327.18</v>
      </c>
      <c r="X77" s="38">
        <f t="shared" ca="1" si="24"/>
        <v>297.73380000000003</v>
      </c>
      <c r="Y77" s="39">
        <f t="shared" ca="1" si="20"/>
        <v>147.23099999999999</v>
      </c>
      <c r="Z77" s="39">
        <f t="shared" ca="1" si="25"/>
        <v>179.94900000000001</v>
      </c>
      <c r="AA77" s="40" t="str">
        <f t="shared" ca="1" si="26"/>
        <v>R$ 44,99 x 4 Parcelas</v>
      </c>
      <c r="AC77" s="17">
        <f t="shared" si="27"/>
        <v>695.51</v>
      </c>
      <c r="AD77" s="17">
        <f t="shared" si="28"/>
        <v>1016.8800000000001</v>
      </c>
      <c r="AE77" s="17">
        <f t="shared" ca="1" si="29"/>
        <v>864.34800000000007</v>
      </c>
      <c r="AF77" s="17">
        <f t="shared" ca="1" si="30"/>
        <v>711.81600000000003</v>
      </c>
      <c r="AG77" s="17">
        <f t="shared" ca="1" si="31"/>
        <v>305.06400000000008</v>
      </c>
      <c r="AH77" s="15" t="str">
        <f t="shared" ca="1" si="32"/>
        <v>R$ 76,27 x 4 Parcelas</v>
      </c>
      <c r="AJ77" s="41">
        <f t="shared" si="33"/>
        <v>695.51</v>
      </c>
      <c r="AK77" s="42">
        <f t="shared" si="34"/>
        <v>1016.8800000000001</v>
      </c>
      <c r="AL77" s="43">
        <f t="shared" ca="1" si="35"/>
        <v>915.19200000000012</v>
      </c>
      <c r="AM77" s="43">
        <f t="shared" ca="1" si="36"/>
        <v>610.12800000000004</v>
      </c>
      <c r="AN77" s="43">
        <f t="shared" ca="1" si="37"/>
        <v>219.68200000000013</v>
      </c>
      <c r="AO77" s="44" t="str">
        <f t="shared" ca="1" si="38"/>
        <v>R$ 54,92 x 4 Parcelas</v>
      </c>
    </row>
    <row r="78" spans="1:41" x14ac:dyDescent="0.3">
      <c r="A78" t="s">
        <v>191</v>
      </c>
      <c r="B78" t="s">
        <v>192</v>
      </c>
      <c r="C78" t="s">
        <v>193</v>
      </c>
      <c r="D78" t="s">
        <v>36</v>
      </c>
      <c r="E78" t="s">
        <v>194</v>
      </c>
      <c r="F78" t="s">
        <v>195</v>
      </c>
      <c r="G78" s="1">
        <v>139</v>
      </c>
      <c r="H78" t="s">
        <v>196</v>
      </c>
      <c r="I78" t="s">
        <v>29</v>
      </c>
      <c r="J78" s="1">
        <v>79003140</v>
      </c>
      <c r="K78" t="s">
        <v>21</v>
      </c>
      <c r="L78" t="s">
        <v>30</v>
      </c>
      <c r="M78" s="1">
        <v>6</v>
      </c>
      <c r="N78" s="4">
        <v>42926</v>
      </c>
      <c r="O78" s="2">
        <v>246.62</v>
      </c>
      <c r="P78" s="2">
        <v>519.87</v>
      </c>
      <c r="Q78" s="2">
        <v>0</v>
      </c>
      <c r="R78" s="2">
        <f t="shared" si="39"/>
        <v>766.49</v>
      </c>
      <c r="S78" t="s">
        <v>31</v>
      </c>
      <c r="T78" t="s">
        <v>0</v>
      </c>
      <c r="U78" s="5">
        <f t="shared" ca="1" si="22"/>
        <v>3164</v>
      </c>
      <c r="V78" s="37">
        <f t="shared" ca="1" si="21"/>
        <v>0</v>
      </c>
      <c r="W78" s="38">
        <f t="shared" ca="1" si="23"/>
        <v>246.62</v>
      </c>
      <c r="X78" s="38">
        <f t="shared" ca="1" si="24"/>
        <v>224.42420000000001</v>
      </c>
      <c r="Y78" s="39">
        <f t="shared" ca="1" si="20"/>
        <v>110.979</v>
      </c>
      <c r="Z78" s="39">
        <f t="shared" ca="1" si="25"/>
        <v>135.64100000000002</v>
      </c>
      <c r="AA78" s="40" t="str">
        <f t="shared" ca="1" si="26"/>
        <v>R$ 33,91 x 4 Parcelas</v>
      </c>
      <c r="AC78" s="17">
        <f t="shared" si="27"/>
        <v>519.87</v>
      </c>
      <c r="AD78" s="17">
        <f t="shared" si="28"/>
        <v>766.49</v>
      </c>
      <c r="AE78" s="17">
        <f t="shared" ca="1" si="29"/>
        <v>651.51649999999995</v>
      </c>
      <c r="AF78" s="17">
        <f t="shared" ca="1" si="30"/>
        <v>536.54300000000001</v>
      </c>
      <c r="AG78" s="17">
        <f t="shared" ca="1" si="31"/>
        <v>229.947</v>
      </c>
      <c r="AH78" s="15" t="str">
        <f t="shared" ca="1" si="32"/>
        <v>R$ 57,49 x 4 Parcelas</v>
      </c>
      <c r="AJ78" s="41">
        <f t="shared" si="33"/>
        <v>519.87</v>
      </c>
      <c r="AK78" s="42">
        <f t="shared" si="34"/>
        <v>766.49</v>
      </c>
      <c r="AL78" s="43">
        <f t="shared" ca="1" si="35"/>
        <v>689.84100000000001</v>
      </c>
      <c r="AM78" s="43">
        <f t="shared" ca="1" si="36"/>
        <v>459.89400000000001</v>
      </c>
      <c r="AN78" s="43">
        <f t="shared" ca="1" si="37"/>
        <v>169.971</v>
      </c>
      <c r="AO78" s="44" t="str">
        <f t="shared" ca="1" si="38"/>
        <v>R$ 42,49 x 4 Parcelas</v>
      </c>
    </row>
    <row r="79" spans="1:41" x14ac:dyDescent="0.3">
      <c r="A79" t="s">
        <v>205</v>
      </c>
      <c r="B79" t="s">
        <v>206</v>
      </c>
      <c r="C79" t="s">
        <v>207</v>
      </c>
      <c r="D79" t="s">
        <v>21</v>
      </c>
      <c r="E79" t="s">
        <v>208</v>
      </c>
      <c r="F79" t="s">
        <v>209</v>
      </c>
      <c r="G79" s="1">
        <v>747</v>
      </c>
      <c r="H79" t="s">
        <v>210</v>
      </c>
      <c r="I79" t="s">
        <v>29</v>
      </c>
      <c r="J79" t="s">
        <v>211</v>
      </c>
      <c r="K79" t="s">
        <v>21</v>
      </c>
      <c r="L79" t="s">
        <v>48</v>
      </c>
      <c r="M79" s="1">
        <v>1</v>
      </c>
      <c r="N79" s="4">
        <v>42952</v>
      </c>
      <c r="O79" s="2">
        <v>600</v>
      </c>
      <c r="P79" s="2">
        <v>1253.5999999999999</v>
      </c>
      <c r="Q79" s="2">
        <v>0</v>
      </c>
      <c r="R79" s="2">
        <f t="shared" si="39"/>
        <v>1853.6</v>
      </c>
      <c r="S79" t="s">
        <v>31</v>
      </c>
      <c r="T79" t="s">
        <v>0</v>
      </c>
      <c r="U79" s="5">
        <f t="shared" ca="1" si="22"/>
        <v>3138</v>
      </c>
      <c r="V79" s="37">
        <f t="shared" ca="1" si="21"/>
        <v>0</v>
      </c>
      <c r="W79" s="38">
        <f t="shared" ca="1" si="23"/>
        <v>600</v>
      </c>
      <c r="X79" s="38">
        <f t="shared" ca="1" si="24"/>
        <v>546</v>
      </c>
      <c r="Y79" s="39">
        <f t="shared" ca="1" si="20"/>
        <v>270</v>
      </c>
      <c r="Z79" s="39">
        <f t="shared" ca="1" si="25"/>
        <v>330</v>
      </c>
      <c r="AA79" s="40" t="str">
        <f t="shared" ca="1" si="26"/>
        <v>R$ 82,50 x 4 Parcelas</v>
      </c>
      <c r="AC79" s="17">
        <f t="shared" si="27"/>
        <v>1259.4099999999999</v>
      </c>
      <c r="AD79" s="17">
        <f t="shared" si="28"/>
        <v>1853.6</v>
      </c>
      <c r="AE79" s="17">
        <f t="shared" ca="1" si="29"/>
        <v>1575.56</v>
      </c>
      <c r="AF79" s="17">
        <f t="shared" ca="1" si="30"/>
        <v>1297.5199999999998</v>
      </c>
      <c r="AG79" s="17">
        <f t="shared" ca="1" si="31"/>
        <v>556.08000000000015</v>
      </c>
      <c r="AH79" s="15" t="str">
        <f t="shared" ca="1" si="32"/>
        <v>R$ 139,02 x 4 Parcelas</v>
      </c>
      <c r="AJ79" s="41">
        <f t="shared" si="33"/>
        <v>1259.4099999999999</v>
      </c>
      <c r="AK79" s="42">
        <f t="shared" si="34"/>
        <v>1853.6</v>
      </c>
      <c r="AL79" s="43">
        <f t="shared" ca="1" si="35"/>
        <v>1668.24</v>
      </c>
      <c r="AM79" s="43">
        <f t="shared" ca="1" si="36"/>
        <v>1112.1599999999999</v>
      </c>
      <c r="AN79" s="43">
        <f t="shared" ca="1" si="37"/>
        <v>408.83000000000015</v>
      </c>
      <c r="AO79" s="44" t="str">
        <f t="shared" ca="1" si="38"/>
        <v>R$ 102,21 x 4 Parcelas</v>
      </c>
    </row>
    <row r="80" spans="1:41" x14ac:dyDescent="0.3">
      <c r="A80" t="s">
        <v>212</v>
      </c>
      <c r="B80" t="s">
        <v>206</v>
      </c>
      <c r="C80" t="s">
        <v>213</v>
      </c>
      <c r="D80" t="s">
        <v>21</v>
      </c>
      <c r="E80" t="s">
        <v>208</v>
      </c>
      <c r="F80" t="s">
        <v>209</v>
      </c>
      <c r="G80" s="1">
        <v>747</v>
      </c>
      <c r="H80" t="s">
        <v>210</v>
      </c>
      <c r="I80" t="s">
        <v>29</v>
      </c>
      <c r="J80" t="s">
        <v>211</v>
      </c>
      <c r="K80" t="s">
        <v>21</v>
      </c>
      <c r="L80" t="s">
        <v>30</v>
      </c>
      <c r="M80" s="1">
        <v>1</v>
      </c>
      <c r="N80" s="4">
        <v>42952</v>
      </c>
      <c r="O80" s="2">
        <v>600</v>
      </c>
      <c r="P80" s="2">
        <v>1253.5999999999999</v>
      </c>
      <c r="Q80" s="2">
        <v>0</v>
      </c>
      <c r="R80" s="2">
        <f t="shared" si="39"/>
        <v>1853.6</v>
      </c>
      <c r="S80" t="s">
        <v>31</v>
      </c>
      <c r="T80" t="s">
        <v>0</v>
      </c>
      <c r="U80" s="5">
        <f t="shared" ca="1" si="22"/>
        <v>3138</v>
      </c>
      <c r="V80" s="37">
        <f t="shared" ca="1" si="21"/>
        <v>0</v>
      </c>
      <c r="W80" s="38">
        <f t="shared" ca="1" si="23"/>
        <v>600</v>
      </c>
      <c r="X80" s="38">
        <f t="shared" ca="1" si="24"/>
        <v>546</v>
      </c>
      <c r="Y80" s="39">
        <f t="shared" ca="1" si="20"/>
        <v>270</v>
      </c>
      <c r="Z80" s="39">
        <f t="shared" ca="1" si="25"/>
        <v>330</v>
      </c>
      <c r="AA80" s="40" t="str">
        <f t="shared" ca="1" si="26"/>
        <v>R$ 82,50 x 4 Parcelas</v>
      </c>
      <c r="AC80" s="17">
        <f t="shared" si="27"/>
        <v>1261.6799999999998</v>
      </c>
      <c r="AD80" s="17">
        <f t="shared" si="28"/>
        <v>1853.6</v>
      </c>
      <c r="AE80" s="17">
        <f t="shared" ca="1" si="29"/>
        <v>1575.56</v>
      </c>
      <c r="AF80" s="17">
        <f t="shared" ca="1" si="30"/>
        <v>1297.5199999999998</v>
      </c>
      <c r="AG80" s="17">
        <f t="shared" ca="1" si="31"/>
        <v>556.08000000000015</v>
      </c>
      <c r="AH80" s="15" t="str">
        <f t="shared" ca="1" si="32"/>
        <v>R$ 139,02 x 4 Parcelas</v>
      </c>
      <c r="AJ80" s="41">
        <f t="shared" si="33"/>
        <v>1261.6799999999998</v>
      </c>
      <c r="AK80" s="42">
        <f t="shared" si="34"/>
        <v>1853.6</v>
      </c>
      <c r="AL80" s="43">
        <f t="shared" ca="1" si="35"/>
        <v>1668.24</v>
      </c>
      <c r="AM80" s="43">
        <f t="shared" ca="1" si="36"/>
        <v>1112.1599999999999</v>
      </c>
      <c r="AN80" s="43">
        <f t="shared" ca="1" si="37"/>
        <v>406.56000000000017</v>
      </c>
      <c r="AO80" s="44" t="str">
        <f t="shared" ca="1" si="38"/>
        <v>R$ 101,64 x 4 Parcelas</v>
      </c>
    </row>
    <row r="81" spans="1:41" x14ac:dyDescent="0.3">
      <c r="A81" t="s">
        <v>214</v>
      </c>
      <c r="B81" t="s">
        <v>215</v>
      </c>
      <c r="C81" t="s">
        <v>216</v>
      </c>
      <c r="D81" t="s">
        <v>217</v>
      </c>
      <c r="E81" t="s">
        <v>218</v>
      </c>
      <c r="F81" t="s">
        <v>219</v>
      </c>
      <c r="G81" s="1">
        <v>841</v>
      </c>
      <c r="H81" t="s">
        <v>220</v>
      </c>
      <c r="I81" t="s">
        <v>29</v>
      </c>
      <c r="J81" s="1">
        <v>79036100</v>
      </c>
      <c r="K81" t="s">
        <v>21</v>
      </c>
      <c r="L81" t="s">
        <v>48</v>
      </c>
      <c r="M81" s="1">
        <v>1</v>
      </c>
      <c r="N81" s="4">
        <v>42952</v>
      </c>
      <c r="O81" s="2">
        <v>249.8</v>
      </c>
      <c r="P81" s="2">
        <v>521.91999999999996</v>
      </c>
      <c r="Q81" s="2">
        <v>0</v>
      </c>
      <c r="R81" s="2">
        <f t="shared" si="39"/>
        <v>771.72</v>
      </c>
      <c r="S81" t="s">
        <v>31</v>
      </c>
      <c r="T81" t="s">
        <v>53</v>
      </c>
      <c r="U81" s="5">
        <f t="shared" ca="1" si="22"/>
        <v>3138</v>
      </c>
      <c r="V81" s="37">
        <f t="shared" ca="1" si="21"/>
        <v>0</v>
      </c>
      <c r="W81" s="38">
        <f t="shared" ca="1" si="23"/>
        <v>249.8</v>
      </c>
      <c r="X81" s="38">
        <f t="shared" ca="1" si="24"/>
        <v>227.31800000000001</v>
      </c>
      <c r="Y81" s="39">
        <f t="shared" ca="1" si="20"/>
        <v>112.41000000000001</v>
      </c>
      <c r="Z81" s="39">
        <f t="shared" ca="1" si="25"/>
        <v>137.38999999999999</v>
      </c>
      <c r="AA81" s="40" t="str">
        <f t="shared" ca="1" si="26"/>
        <v>R$ 34,35 x 4 Parcelas</v>
      </c>
      <c r="AC81" s="17">
        <f t="shared" si="27"/>
        <v>524.66</v>
      </c>
      <c r="AD81" s="17">
        <f t="shared" si="28"/>
        <v>771.72</v>
      </c>
      <c r="AE81" s="17">
        <f t="shared" ca="1" si="29"/>
        <v>655.96199999999999</v>
      </c>
      <c r="AF81" s="17">
        <f t="shared" ca="1" si="30"/>
        <v>540.20399999999995</v>
      </c>
      <c r="AG81" s="17">
        <f t="shared" ca="1" si="31"/>
        <v>231.51600000000008</v>
      </c>
      <c r="AH81" s="15" t="str">
        <f t="shared" ca="1" si="32"/>
        <v>R$ 57,88 x 4 Parcelas</v>
      </c>
      <c r="AJ81" s="41">
        <f t="shared" si="33"/>
        <v>524.66</v>
      </c>
      <c r="AK81" s="42">
        <f t="shared" si="34"/>
        <v>771.72</v>
      </c>
      <c r="AL81" s="43">
        <f t="shared" ca="1" si="35"/>
        <v>694.548</v>
      </c>
      <c r="AM81" s="43">
        <f t="shared" ca="1" si="36"/>
        <v>463.03199999999998</v>
      </c>
      <c r="AN81" s="43">
        <f t="shared" ca="1" si="37"/>
        <v>169.88800000000003</v>
      </c>
      <c r="AO81" s="44" t="str">
        <f t="shared" ca="1" si="38"/>
        <v>R$ 42,47 x 4 Parcelas</v>
      </c>
    </row>
    <row r="82" spans="1:41" x14ac:dyDescent="0.3">
      <c r="A82" t="s">
        <v>205</v>
      </c>
      <c r="B82" t="s">
        <v>206</v>
      </c>
      <c r="C82" t="s">
        <v>207</v>
      </c>
      <c r="D82" t="s">
        <v>21</v>
      </c>
      <c r="E82" t="s">
        <v>208</v>
      </c>
      <c r="F82" t="s">
        <v>209</v>
      </c>
      <c r="G82" s="1">
        <v>747</v>
      </c>
      <c r="H82" t="s">
        <v>210</v>
      </c>
      <c r="I82" t="s">
        <v>29</v>
      </c>
      <c r="J82" t="s">
        <v>211</v>
      </c>
      <c r="K82" t="s">
        <v>21</v>
      </c>
      <c r="L82" t="s">
        <v>48</v>
      </c>
      <c r="M82" s="1">
        <v>2</v>
      </c>
      <c r="N82" s="4">
        <v>42983</v>
      </c>
      <c r="O82" s="2">
        <v>600</v>
      </c>
      <c r="P82" s="2">
        <v>1242</v>
      </c>
      <c r="Q82" s="2">
        <v>0</v>
      </c>
      <c r="R82" s="2">
        <f t="shared" si="39"/>
        <v>1842</v>
      </c>
      <c r="S82" t="s">
        <v>31</v>
      </c>
      <c r="T82" t="s">
        <v>0</v>
      </c>
      <c r="U82" s="5">
        <f t="shared" ca="1" si="22"/>
        <v>3107</v>
      </c>
      <c r="V82" s="37">
        <f t="shared" ca="1" si="21"/>
        <v>0</v>
      </c>
      <c r="W82" s="38">
        <f t="shared" ca="1" si="23"/>
        <v>600</v>
      </c>
      <c r="X82" s="38">
        <f t="shared" ca="1" si="24"/>
        <v>546</v>
      </c>
      <c r="Y82" s="39">
        <f t="shared" ref="Y82:Y145" ca="1" si="40">W82 * VLOOKUP(U82, $BC$3:$BF$11, 4, TRUE)</f>
        <v>270</v>
      </c>
      <c r="Z82" s="39">
        <f t="shared" ca="1" si="25"/>
        <v>330</v>
      </c>
      <c r="AA82" s="40" t="str">
        <f t="shared" ca="1" si="26"/>
        <v>R$ 82,50 x 4 Parcelas</v>
      </c>
      <c r="AC82" s="17">
        <f t="shared" si="27"/>
        <v>1250.08</v>
      </c>
      <c r="AD82" s="17">
        <f t="shared" si="28"/>
        <v>1842</v>
      </c>
      <c r="AE82" s="17">
        <f t="shared" ca="1" si="29"/>
        <v>1565.7</v>
      </c>
      <c r="AF82" s="17">
        <f t="shared" ca="1" si="30"/>
        <v>1289.3999999999999</v>
      </c>
      <c r="AG82" s="17">
        <f t="shared" ca="1" si="31"/>
        <v>552.60000000000014</v>
      </c>
      <c r="AH82" s="15" t="str">
        <f t="shared" ca="1" si="32"/>
        <v>R$ 138,15 x 4 Parcelas</v>
      </c>
      <c r="AJ82" s="41">
        <f t="shared" si="33"/>
        <v>1250.08</v>
      </c>
      <c r="AK82" s="42">
        <f t="shared" si="34"/>
        <v>1842</v>
      </c>
      <c r="AL82" s="43">
        <f t="shared" ca="1" si="35"/>
        <v>1657.8</v>
      </c>
      <c r="AM82" s="43">
        <f t="shared" ca="1" si="36"/>
        <v>1105.2</v>
      </c>
      <c r="AN82" s="43">
        <f t="shared" ca="1" si="37"/>
        <v>407.72</v>
      </c>
      <c r="AO82" s="44" t="str">
        <f t="shared" ca="1" si="38"/>
        <v>R$ 101,93 x 4 Parcelas</v>
      </c>
    </row>
    <row r="83" spans="1:41" x14ac:dyDescent="0.3">
      <c r="A83" t="s">
        <v>212</v>
      </c>
      <c r="B83" t="s">
        <v>206</v>
      </c>
      <c r="C83" t="s">
        <v>213</v>
      </c>
      <c r="D83" t="s">
        <v>21</v>
      </c>
      <c r="E83" t="s">
        <v>208</v>
      </c>
      <c r="F83" t="s">
        <v>209</v>
      </c>
      <c r="G83" s="1">
        <v>747</v>
      </c>
      <c r="H83" t="s">
        <v>210</v>
      </c>
      <c r="I83" t="s">
        <v>29</v>
      </c>
      <c r="J83" t="s">
        <v>211</v>
      </c>
      <c r="K83" t="s">
        <v>21</v>
      </c>
      <c r="L83" t="s">
        <v>30</v>
      </c>
      <c r="M83" s="1">
        <v>2</v>
      </c>
      <c r="N83" s="4">
        <v>42983</v>
      </c>
      <c r="O83" s="2">
        <v>600</v>
      </c>
      <c r="P83" s="2">
        <v>1242</v>
      </c>
      <c r="Q83" s="2">
        <v>0</v>
      </c>
      <c r="R83" s="2">
        <f t="shared" si="39"/>
        <v>1842</v>
      </c>
      <c r="S83" t="s">
        <v>31</v>
      </c>
      <c r="T83" t="s">
        <v>0</v>
      </c>
      <c r="U83" s="5">
        <f t="shared" ca="1" si="22"/>
        <v>3107</v>
      </c>
      <c r="V83" s="37">
        <f t="shared" ca="1" si="21"/>
        <v>0</v>
      </c>
      <c r="W83" s="38">
        <f t="shared" ca="1" si="23"/>
        <v>600</v>
      </c>
      <c r="X83" s="38">
        <f t="shared" ca="1" si="24"/>
        <v>546</v>
      </c>
      <c r="Y83" s="39">
        <f t="shared" ca="1" si="40"/>
        <v>270</v>
      </c>
      <c r="Z83" s="39">
        <f t="shared" ca="1" si="25"/>
        <v>330</v>
      </c>
      <c r="AA83" s="40" t="str">
        <f t="shared" ca="1" si="26"/>
        <v>R$ 82,50 x 4 Parcelas</v>
      </c>
      <c r="AC83" s="17">
        <f t="shared" si="27"/>
        <v>1250.08</v>
      </c>
      <c r="AD83" s="17">
        <f t="shared" si="28"/>
        <v>1842</v>
      </c>
      <c r="AE83" s="17">
        <f t="shared" ca="1" si="29"/>
        <v>1565.7</v>
      </c>
      <c r="AF83" s="17">
        <f t="shared" ca="1" si="30"/>
        <v>1289.3999999999999</v>
      </c>
      <c r="AG83" s="17">
        <f t="shared" ca="1" si="31"/>
        <v>552.60000000000014</v>
      </c>
      <c r="AH83" s="15" t="str">
        <f t="shared" ca="1" si="32"/>
        <v>R$ 138,15 x 4 Parcelas</v>
      </c>
      <c r="AJ83" s="41">
        <f t="shared" si="33"/>
        <v>1250.08</v>
      </c>
      <c r="AK83" s="42">
        <f t="shared" si="34"/>
        <v>1842</v>
      </c>
      <c r="AL83" s="43">
        <f t="shared" ca="1" si="35"/>
        <v>1657.8</v>
      </c>
      <c r="AM83" s="43">
        <f t="shared" ca="1" si="36"/>
        <v>1105.2</v>
      </c>
      <c r="AN83" s="43">
        <f t="shared" ca="1" si="37"/>
        <v>407.72</v>
      </c>
      <c r="AO83" s="44" t="str">
        <f t="shared" ca="1" si="38"/>
        <v>R$ 101,93 x 4 Parcelas</v>
      </c>
    </row>
    <row r="84" spans="1:41" x14ac:dyDescent="0.3">
      <c r="A84" t="s">
        <v>221</v>
      </c>
      <c r="B84" t="s">
        <v>222</v>
      </c>
      <c r="C84" t="s">
        <v>223</v>
      </c>
      <c r="D84" t="s">
        <v>224</v>
      </c>
      <c r="E84" t="s">
        <v>225</v>
      </c>
      <c r="F84" t="s">
        <v>226</v>
      </c>
      <c r="G84" s="1">
        <v>75</v>
      </c>
      <c r="H84" t="s">
        <v>106</v>
      </c>
      <c r="I84" t="s">
        <v>29</v>
      </c>
      <c r="J84" s="1">
        <v>79081510</v>
      </c>
      <c r="K84" t="s">
        <v>21</v>
      </c>
      <c r="L84" t="s">
        <v>48</v>
      </c>
      <c r="M84" s="1">
        <v>1</v>
      </c>
      <c r="N84" s="4">
        <v>42984</v>
      </c>
      <c r="O84" s="2">
        <v>200.35</v>
      </c>
      <c r="P84" s="2">
        <v>414.59</v>
      </c>
      <c r="Q84" s="2">
        <v>0</v>
      </c>
      <c r="R84" s="2">
        <f t="shared" si="39"/>
        <v>614.93999999999994</v>
      </c>
      <c r="S84" t="s">
        <v>31</v>
      </c>
      <c r="T84" t="s">
        <v>53</v>
      </c>
      <c r="U84" s="5">
        <f t="shared" ca="1" si="22"/>
        <v>3106</v>
      </c>
      <c r="V84" s="37">
        <f t="shared" ca="1" si="21"/>
        <v>0</v>
      </c>
      <c r="W84" s="38">
        <f t="shared" ca="1" si="23"/>
        <v>200.35</v>
      </c>
      <c r="X84" s="38">
        <f t="shared" ca="1" si="24"/>
        <v>182.3185</v>
      </c>
      <c r="Y84" s="39">
        <f t="shared" ca="1" si="40"/>
        <v>90.157499999999999</v>
      </c>
      <c r="Z84" s="39">
        <f t="shared" ca="1" si="25"/>
        <v>110.1925</v>
      </c>
      <c r="AA84" s="40" t="str">
        <f t="shared" ca="1" si="26"/>
        <v>R$ 27,55 x 4 Parcelas</v>
      </c>
      <c r="AC84" s="17">
        <f t="shared" si="27"/>
        <v>425.11999999999995</v>
      </c>
      <c r="AD84" s="17">
        <f t="shared" si="28"/>
        <v>614.93999999999994</v>
      </c>
      <c r="AE84" s="17">
        <f t="shared" ca="1" si="29"/>
        <v>522.69899999999996</v>
      </c>
      <c r="AF84" s="17">
        <f t="shared" ca="1" si="30"/>
        <v>430.45799999999991</v>
      </c>
      <c r="AG84" s="17">
        <f t="shared" ca="1" si="31"/>
        <v>184.48200000000003</v>
      </c>
      <c r="AH84" s="15" t="str">
        <f t="shared" ca="1" si="32"/>
        <v>R$ 46,12 x 4 Parcelas</v>
      </c>
      <c r="AJ84" s="41">
        <f t="shared" si="33"/>
        <v>425.11999999999995</v>
      </c>
      <c r="AK84" s="42">
        <f t="shared" si="34"/>
        <v>614.93999999999994</v>
      </c>
      <c r="AL84" s="43">
        <f t="shared" ca="1" si="35"/>
        <v>553.44599999999991</v>
      </c>
      <c r="AM84" s="43">
        <f t="shared" ca="1" si="36"/>
        <v>368.96399999999994</v>
      </c>
      <c r="AN84" s="43">
        <f t="shared" ca="1" si="37"/>
        <v>128.32599999999996</v>
      </c>
      <c r="AO84" s="44" t="str">
        <f t="shared" ca="1" si="38"/>
        <v>R$ 32,08 x 4 Parcelas</v>
      </c>
    </row>
    <row r="85" spans="1:41" x14ac:dyDescent="0.3">
      <c r="A85" t="s">
        <v>227</v>
      </c>
      <c r="B85" t="s">
        <v>228</v>
      </c>
      <c r="C85" t="s">
        <v>229</v>
      </c>
      <c r="D85" t="s">
        <v>21</v>
      </c>
      <c r="E85" t="s">
        <v>230</v>
      </c>
      <c r="F85" t="s">
        <v>105</v>
      </c>
      <c r="G85" s="1">
        <v>975</v>
      </c>
      <c r="H85" t="s">
        <v>106</v>
      </c>
      <c r="I85" t="s">
        <v>29</v>
      </c>
      <c r="J85" t="s">
        <v>107</v>
      </c>
      <c r="K85" t="s">
        <v>231</v>
      </c>
      <c r="L85" t="s">
        <v>48</v>
      </c>
      <c r="M85" s="1">
        <v>1</v>
      </c>
      <c r="N85" s="4">
        <v>43187</v>
      </c>
      <c r="O85" s="2">
        <v>80</v>
      </c>
      <c r="P85" s="2">
        <v>154.72</v>
      </c>
      <c r="Q85" s="2">
        <v>0</v>
      </c>
      <c r="R85" s="2">
        <f t="shared" si="39"/>
        <v>234.72</v>
      </c>
      <c r="S85" t="s">
        <v>31</v>
      </c>
      <c r="T85" t="s">
        <v>232</v>
      </c>
      <c r="U85" s="5">
        <f t="shared" ca="1" si="22"/>
        <v>2903</v>
      </c>
      <c r="V85" s="37">
        <f t="shared" ca="1" si="21"/>
        <v>7.7360000000000069</v>
      </c>
      <c r="W85" s="38">
        <f t="shared" ca="1" si="23"/>
        <v>87.736000000000004</v>
      </c>
      <c r="X85" s="38">
        <f t="shared" ca="1" si="24"/>
        <v>80.717120000000008</v>
      </c>
      <c r="Y85" s="39">
        <f t="shared" ca="1" si="40"/>
        <v>39.481200000000001</v>
      </c>
      <c r="Z85" s="39">
        <f t="shared" ca="1" si="25"/>
        <v>48.254800000000003</v>
      </c>
      <c r="AA85" s="40" t="str">
        <f t="shared" ca="1" si="26"/>
        <v>R$ 12,06 x 4 Parcelas</v>
      </c>
      <c r="AC85" s="17">
        <f t="shared" si="27"/>
        <v>165.25</v>
      </c>
      <c r="AD85" s="17">
        <f t="shared" si="28"/>
        <v>234.72</v>
      </c>
      <c r="AE85" s="17">
        <f t="shared" ca="1" si="29"/>
        <v>199.512</v>
      </c>
      <c r="AF85" s="17">
        <f t="shared" ca="1" si="30"/>
        <v>164.304</v>
      </c>
      <c r="AG85" s="17">
        <f t="shared" ca="1" si="31"/>
        <v>70.415999999999997</v>
      </c>
      <c r="AH85" s="15" t="str">
        <f t="shared" ca="1" si="32"/>
        <v>R$ 17,60 x 4 Parcelas</v>
      </c>
      <c r="AJ85" s="41">
        <f t="shared" si="33"/>
        <v>165.25</v>
      </c>
      <c r="AK85" s="42">
        <f t="shared" si="34"/>
        <v>234.72</v>
      </c>
      <c r="AL85" s="43">
        <f t="shared" ca="1" si="35"/>
        <v>211.24799999999999</v>
      </c>
      <c r="AM85" s="43">
        <f t="shared" ca="1" si="36"/>
        <v>140.83199999999999</v>
      </c>
      <c r="AN85" s="43">
        <f t="shared" ca="1" si="37"/>
        <v>45.99799999999999</v>
      </c>
      <c r="AO85" s="44" t="str">
        <f t="shared" ca="1" si="38"/>
        <v>R$ 11,50 x 4 Parcelas</v>
      </c>
    </row>
    <row r="86" spans="1:41" x14ac:dyDescent="0.3">
      <c r="A86" t="s">
        <v>233</v>
      </c>
      <c r="B86" t="s">
        <v>235</v>
      </c>
      <c r="C86" t="s">
        <v>236</v>
      </c>
      <c r="D86" t="s">
        <v>21</v>
      </c>
      <c r="E86" t="s">
        <v>234</v>
      </c>
      <c r="F86" t="s">
        <v>237</v>
      </c>
      <c r="G86" s="1">
        <v>81</v>
      </c>
      <c r="H86" t="s">
        <v>220</v>
      </c>
      <c r="I86" t="s">
        <v>29</v>
      </c>
      <c r="J86" t="s">
        <v>238</v>
      </c>
      <c r="K86" t="s">
        <v>21</v>
      </c>
      <c r="L86" t="s">
        <v>48</v>
      </c>
      <c r="M86" s="1">
        <v>3</v>
      </c>
      <c r="N86" s="4">
        <v>43225</v>
      </c>
      <c r="O86" s="2">
        <v>385.09</v>
      </c>
      <c r="P86" s="2">
        <v>734.49</v>
      </c>
      <c r="Q86" s="2">
        <v>0</v>
      </c>
      <c r="R86" s="2">
        <f t="shared" si="39"/>
        <v>1119.58</v>
      </c>
      <c r="S86" t="s">
        <v>31</v>
      </c>
      <c r="T86" t="s">
        <v>0</v>
      </c>
      <c r="U86" s="5">
        <f t="shared" ca="1" si="22"/>
        <v>2865</v>
      </c>
      <c r="V86" s="37">
        <f t="shared" ca="1" si="21"/>
        <v>36.724500000000035</v>
      </c>
      <c r="W86" s="38">
        <f t="shared" ca="1" si="23"/>
        <v>421.81450000000001</v>
      </c>
      <c r="X86" s="38">
        <f t="shared" ca="1" si="24"/>
        <v>388.06934000000001</v>
      </c>
      <c r="Y86" s="39">
        <f t="shared" ca="1" si="40"/>
        <v>189.81652500000001</v>
      </c>
      <c r="Z86" s="39">
        <f t="shared" ca="1" si="25"/>
        <v>231.997975</v>
      </c>
      <c r="AA86" s="40" t="str">
        <f t="shared" ca="1" si="26"/>
        <v>R$ 58,00 x 4 Parcelas</v>
      </c>
      <c r="AC86" s="17">
        <f t="shared" si="27"/>
        <v>757.1</v>
      </c>
      <c r="AD86" s="17">
        <f t="shared" si="28"/>
        <v>1119.58</v>
      </c>
      <c r="AE86" s="17">
        <f t="shared" ca="1" si="29"/>
        <v>951.64299999999992</v>
      </c>
      <c r="AF86" s="17">
        <f t="shared" ca="1" si="30"/>
        <v>783.7059999999999</v>
      </c>
      <c r="AG86" s="17">
        <f t="shared" ca="1" si="31"/>
        <v>335.87400000000002</v>
      </c>
      <c r="AH86" s="15" t="str">
        <f t="shared" ca="1" si="32"/>
        <v>R$ 83,97 x 4 Parcelas</v>
      </c>
      <c r="AJ86" s="41">
        <f t="shared" si="33"/>
        <v>757.1</v>
      </c>
      <c r="AK86" s="42">
        <f t="shared" si="34"/>
        <v>1119.58</v>
      </c>
      <c r="AL86" s="43">
        <f t="shared" ca="1" si="35"/>
        <v>1007.622</v>
      </c>
      <c r="AM86" s="43">
        <f t="shared" ca="1" si="36"/>
        <v>671.74799999999993</v>
      </c>
      <c r="AN86" s="43">
        <f t="shared" ca="1" si="37"/>
        <v>250.52199999999993</v>
      </c>
      <c r="AO86" s="44" t="str">
        <f t="shared" ca="1" si="38"/>
        <v>R$ 62,63 x 4 Parcelas</v>
      </c>
    </row>
    <row r="87" spans="1:41" x14ac:dyDescent="0.3">
      <c r="A87" t="s">
        <v>239</v>
      </c>
      <c r="B87" t="s">
        <v>240</v>
      </c>
      <c r="C87" t="s">
        <v>241</v>
      </c>
      <c r="D87" t="s">
        <v>36</v>
      </c>
      <c r="E87" t="s">
        <v>242</v>
      </c>
      <c r="F87" t="s">
        <v>243</v>
      </c>
      <c r="G87" s="1">
        <v>1464</v>
      </c>
      <c r="H87" t="s">
        <v>21</v>
      </c>
      <c r="I87" t="s">
        <v>244</v>
      </c>
      <c r="J87" s="1">
        <v>79180000</v>
      </c>
      <c r="K87" t="s">
        <v>21</v>
      </c>
      <c r="L87" t="s">
        <v>48</v>
      </c>
      <c r="M87" s="1">
        <v>1</v>
      </c>
      <c r="N87" s="4">
        <v>43230</v>
      </c>
      <c r="O87" s="2">
        <v>667.42</v>
      </c>
      <c r="P87" s="2">
        <v>1271.6600000000001</v>
      </c>
      <c r="Q87" s="2">
        <v>0</v>
      </c>
      <c r="R87" s="2">
        <f t="shared" si="39"/>
        <v>1939.08</v>
      </c>
      <c r="S87" t="s">
        <v>31</v>
      </c>
      <c r="T87" t="s">
        <v>53</v>
      </c>
      <c r="U87" s="5">
        <f t="shared" ca="1" si="22"/>
        <v>2860</v>
      </c>
      <c r="V87" s="37">
        <f t="shared" ca="1" si="21"/>
        <v>63.583000000000062</v>
      </c>
      <c r="W87" s="38">
        <f t="shared" ca="1" si="23"/>
        <v>731.00300000000004</v>
      </c>
      <c r="X87" s="38">
        <f t="shared" ca="1" si="24"/>
        <v>672.52276000000006</v>
      </c>
      <c r="Y87" s="39">
        <f t="shared" ca="1" si="40"/>
        <v>328.95135000000005</v>
      </c>
      <c r="Z87" s="39">
        <f t="shared" ca="1" si="25"/>
        <v>402.05165</v>
      </c>
      <c r="AA87" s="40" t="str">
        <f t="shared" ca="1" si="26"/>
        <v>R$ 100,51 x 4 Parcelas</v>
      </c>
      <c r="AC87" s="17">
        <f t="shared" si="27"/>
        <v>1277.5800000000002</v>
      </c>
      <c r="AD87" s="17">
        <f t="shared" si="28"/>
        <v>1939.08</v>
      </c>
      <c r="AE87" s="17">
        <f t="shared" ca="1" si="29"/>
        <v>1648.2179999999998</v>
      </c>
      <c r="AF87" s="17">
        <f t="shared" ca="1" si="30"/>
        <v>1357.3559999999998</v>
      </c>
      <c r="AG87" s="17">
        <f t="shared" ca="1" si="31"/>
        <v>581.72400000000016</v>
      </c>
      <c r="AH87" s="15" t="str">
        <f t="shared" ca="1" si="32"/>
        <v>R$ 145,43 x 4 Parcelas</v>
      </c>
      <c r="AJ87" s="41">
        <f t="shared" si="33"/>
        <v>1277.5800000000002</v>
      </c>
      <c r="AK87" s="42">
        <f t="shared" si="34"/>
        <v>1939.08</v>
      </c>
      <c r="AL87" s="43">
        <f t="shared" ca="1" si="35"/>
        <v>1745.172</v>
      </c>
      <c r="AM87" s="43">
        <f t="shared" ca="1" si="36"/>
        <v>1163.4479999999999</v>
      </c>
      <c r="AN87" s="43">
        <f t="shared" ca="1" si="37"/>
        <v>467.59199999999987</v>
      </c>
      <c r="AO87" s="44" t="str">
        <f t="shared" ca="1" si="38"/>
        <v>R$ 116,90 x 4 Parcelas</v>
      </c>
    </row>
    <row r="88" spans="1:41" x14ac:dyDescent="0.3">
      <c r="A88" t="s">
        <v>239</v>
      </c>
      <c r="B88" t="s">
        <v>240</v>
      </c>
      <c r="C88" t="s">
        <v>241</v>
      </c>
      <c r="D88" t="s">
        <v>36</v>
      </c>
      <c r="E88" t="s">
        <v>242</v>
      </c>
      <c r="F88" t="s">
        <v>243</v>
      </c>
      <c r="G88" s="1">
        <v>1464</v>
      </c>
      <c r="H88" t="s">
        <v>21</v>
      </c>
      <c r="I88" t="s">
        <v>244</v>
      </c>
      <c r="J88" s="1">
        <v>79180000</v>
      </c>
      <c r="K88" t="s">
        <v>21</v>
      </c>
      <c r="L88" t="s">
        <v>48</v>
      </c>
      <c r="M88" s="1">
        <v>1</v>
      </c>
      <c r="N88" s="4">
        <v>43230</v>
      </c>
      <c r="O88" s="2">
        <v>395</v>
      </c>
      <c r="P88" s="2">
        <v>752.61</v>
      </c>
      <c r="Q88" s="2">
        <v>0</v>
      </c>
      <c r="R88" s="2">
        <f t="shared" si="39"/>
        <v>1147.6100000000001</v>
      </c>
      <c r="S88" t="s">
        <v>31</v>
      </c>
      <c r="T88" t="s">
        <v>245</v>
      </c>
      <c r="U88" s="5">
        <f t="shared" ca="1" si="22"/>
        <v>2860</v>
      </c>
      <c r="V88" s="37">
        <f t="shared" ca="1" si="21"/>
        <v>37.630500000000033</v>
      </c>
      <c r="W88" s="38">
        <f t="shared" ca="1" si="23"/>
        <v>432.63050000000004</v>
      </c>
      <c r="X88" s="38">
        <f t="shared" ca="1" si="24"/>
        <v>398.02006000000006</v>
      </c>
      <c r="Y88" s="39">
        <f t="shared" ca="1" si="40"/>
        <v>194.68372500000001</v>
      </c>
      <c r="Z88" s="39">
        <f t="shared" ca="1" si="25"/>
        <v>237.94677500000003</v>
      </c>
      <c r="AA88" s="40" t="str">
        <f t="shared" ca="1" si="26"/>
        <v>R$ 59,49 x 4 Parcelas</v>
      </c>
      <c r="AC88" s="17">
        <f t="shared" si="27"/>
        <v>775.91</v>
      </c>
      <c r="AD88" s="17">
        <f t="shared" si="28"/>
        <v>1147.6100000000001</v>
      </c>
      <c r="AE88" s="17">
        <f t="shared" ca="1" si="29"/>
        <v>975.46850000000006</v>
      </c>
      <c r="AF88" s="17">
        <f t="shared" ca="1" si="30"/>
        <v>803.327</v>
      </c>
      <c r="AG88" s="17">
        <f t="shared" ca="1" si="31"/>
        <v>344.28300000000013</v>
      </c>
      <c r="AH88" s="15" t="str">
        <f t="shared" ca="1" si="32"/>
        <v>R$ 86,07 x 4 Parcelas</v>
      </c>
      <c r="AJ88" s="41">
        <f t="shared" si="33"/>
        <v>775.91</v>
      </c>
      <c r="AK88" s="42">
        <f t="shared" si="34"/>
        <v>1147.6100000000001</v>
      </c>
      <c r="AL88" s="43">
        <f t="shared" ca="1" si="35"/>
        <v>1032.8490000000002</v>
      </c>
      <c r="AM88" s="43">
        <f t="shared" ca="1" si="36"/>
        <v>688.56600000000003</v>
      </c>
      <c r="AN88" s="43">
        <f t="shared" ca="1" si="37"/>
        <v>256.93900000000019</v>
      </c>
      <c r="AO88" s="44" t="str">
        <f t="shared" ca="1" si="38"/>
        <v>R$ 64,23 x 4 Parcelas</v>
      </c>
    </row>
    <row r="89" spans="1:41" x14ac:dyDescent="0.3">
      <c r="A89" t="s">
        <v>239</v>
      </c>
      <c r="B89" t="s">
        <v>240</v>
      </c>
      <c r="C89" t="s">
        <v>241</v>
      </c>
      <c r="D89" t="s">
        <v>36</v>
      </c>
      <c r="E89" t="s">
        <v>242</v>
      </c>
      <c r="F89" t="s">
        <v>243</v>
      </c>
      <c r="G89" s="1">
        <v>1464</v>
      </c>
      <c r="H89" t="s">
        <v>21</v>
      </c>
      <c r="I89" t="s">
        <v>244</v>
      </c>
      <c r="J89" s="1">
        <v>79180000</v>
      </c>
      <c r="K89" t="s">
        <v>21</v>
      </c>
      <c r="L89" t="s">
        <v>48</v>
      </c>
      <c r="M89" s="1">
        <v>1</v>
      </c>
      <c r="N89" s="4">
        <v>43230</v>
      </c>
      <c r="O89" s="2">
        <v>272.42</v>
      </c>
      <c r="P89" s="2">
        <v>519.04999999999995</v>
      </c>
      <c r="Q89" s="2">
        <v>0</v>
      </c>
      <c r="R89" s="2">
        <f t="shared" si="39"/>
        <v>791.47</v>
      </c>
      <c r="S89" t="s">
        <v>31</v>
      </c>
      <c r="T89" t="s">
        <v>245</v>
      </c>
      <c r="U89" s="5">
        <f t="shared" ca="1" si="22"/>
        <v>2860</v>
      </c>
      <c r="V89" s="37">
        <f t="shared" ca="1" si="21"/>
        <v>25.952500000000022</v>
      </c>
      <c r="W89" s="38">
        <f t="shared" ca="1" si="23"/>
        <v>298.37250000000006</v>
      </c>
      <c r="X89" s="38">
        <f t="shared" ca="1" si="24"/>
        <v>274.50270000000006</v>
      </c>
      <c r="Y89" s="39">
        <f t="shared" ca="1" si="40"/>
        <v>134.26762500000004</v>
      </c>
      <c r="Z89" s="39">
        <f t="shared" ca="1" si="25"/>
        <v>164.10487500000002</v>
      </c>
      <c r="AA89" s="40" t="str">
        <f t="shared" ca="1" si="26"/>
        <v>R$ 41,03 x 4 Parcelas</v>
      </c>
      <c r="AC89" s="17">
        <f t="shared" si="27"/>
        <v>527.88</v>
      </c>
      <c r="AD89" s="17">
        <f t="shared" si="28"/>
        <v>791.47</v>
      </c>
      <c r="AE89" s="17">
        <f t="shared" ca="1" si="29"/>
        <v>672.74950000000001</v>
      </c>
      <c r="AF89" s="17">
        <f t="shared" ca="1" si="30"/>
        <v>554.029</v>
      </c>
      <c r="AG89" s="17">
        <f t="shared" ca="1" si="31"/>
        <v>237.44100000000003</v>
      </c>
      <c r="AH89" s="15" t="str">
        <f t="shared" ca="1" si="32"/>
        <v>R$ 59,36 x 4 Parcelas</v>
      </c>
      <c r="AJ89" s="41">
        <f t="shared" si="33"/>
        <v>527.88</v>
      </c>
      <c r="AK89" s="42">
        <f t="shared" si="34"/>
        <v>791.47</v>
      </c>
      <c r="AL89" s="43">
        <f t="shared" ca="1" si="35"/>
        <v>712.32300000000009</v>
      </c>
      <c r="AM89" s="43">
        <f t="shared" ca="1" si="36"/>
        <v>474.88200000000001</v>
      </c>
      <c r="AN89" s="43">
        <f t="shared" ca="1" si="37"/>
        <v>184.4430000000001</v>
      </c>
      <c r="AO89" s="44" t="str">
        <f t="shared" ca="1" si="38"/>
        <v>R$ 46,11 x 4 Parcelas</v>
      </c>
    </row>
    <row r="90" spans="1:41" x14ac:dyDescent="0.3">
      <c r="A90" t="s">
        <v>233</v>
      </c>
      <c r="B90" t="s">
        <v>235</v>
      </c>
      <c r="C90" t="s">
        <v>236</v>
      </c>
      <c r="D90" t="s">
        <v>21</v>
      </c>
      <c r="E90" t="s">
        <v>234</v>
      </c>
      <c r="F90" t="s">
        <v>237</v>
      </c>
      <c r="G90" s="1">
        <v>81</v>
      </c>
      <c r="H90" t="s">
        <v>220</v>
      </c>
      <c r="I90" t="s">
        <v>29</v>
      </c>
      <c r="J90" t="s">
        <v>238</v>
      </c>
      <c r="K90" t="s">
        <v>21</v>
      </c>
      <c r="L90" t="s">
        <v>48</v>
      </c>
      <c r="M90" s="1">
        <v>4</v>
      </c>
      <c r="N90" s="4">
        <v>43256</v>
      </c>
      <c r="O90" s="2">
        <v>385.09</v>
      </c>
      <c r="P90" s="2">
        <v>727.05</v>
      </c>
      <c r="Q90" s="2">
        <v>0</v>
      </c>
      <c r="R90" s="2">
        <f t="shared" si="39"/>
        <v>1112.1399999999999</v>
      </c>
      <c r="S90" t="s">
        <v>31</v>
      </c>
      <c r="T90" t="s">
        <v>0</v>
      </c>
      <c r="U90" s="5">
        <f t="shared" ca="1" si="22"/>
        <v>2834</v>
      </c>
      <c r="V90" s="37">
        <f t="shared" ca="1" si="21"/>
        <v>36.352500000000028</v>
      </c>
      <c r="W90" s="38">
        <f t="shared" ca="1" si="23"/>
        <v>421.4425</v>
      </c>
      <c r="X90" s="38">
        <f t="shared" ca="1" si="24"/>
        <v>387.72710000000001</v>
      </c>
      <c r="Y90" s="39">
        <f t="shared" ca="1" si="40"/>
        <v>189.649125</v>
      </c>
      <c r="Z90" s="39">
        <f t="shared" ca="1" si="25"/>
        <v>231.793375</v>
      </c>
      <c r="AA90" s="40" t="str">
        <f t="shared" ca="1" si="26"/>
        <v>R$ 57,95 x 4 Parcelas</v>
      </c>
      <c r="AC90" s="17">
        <f t="shared" si="27"/>
        <v>734.99</v>
      </c>
      <c r="AD90" s="17">
        <f t="shared" si="28"/>
        <v>1112.1399999999999</v>
      </c>
      <c r="AE90" s="17">
        <f t="shared" ca="1" si="29"/>
        <v>945.31899999999985</v>
      </c>
      <c r="AF90" s="17">
        <f t="shared" ca="1" si="30"/>
        <v>778.49799999999982</v>
      </c>
      <c r="AG90" s="17">
        <f t="shared" ca="1" si="31"/>
        <v>333.64200000000005</v>
      </c>
      <c r="AH90" s="15" t="str">
        <f t="shared" ca="1" si="32"/>
        <v>R$ 83,41 x 4 Parcelas</v>
      </c>
      <c r="AJ90" s="41">
        <f t="shared" si="33"/>
        <v>734.99</v>
      </c>
      <c r="AK90" s="42">
        <f t="shared" si="34"/>
        <v>1112.1399999999999</v>
      </c>
      <c r="AL90" s="43">
        <f t="shared" ca="1" si="35"/>
        <v>1000.9259999999999</v>
      </c>
      <c r="AM90" s="43">
        <f t="shared" ca="1" si="36"/>
        <v>667.28399999999988</v>
      </c>
      <c r="AN90" s="43">
        <f t="shared" ca="1" si="37"/>
        <v>265.93599999999992</v>
      </c>
      <c r="AO90" s="44" t="str">
        <f t="shared" ca="1" si="38"/>
        <v>R$ 66,48 x 4 Parcelas</v>
      </c>
    </row>
    <row r="91" spans="1:41" x14ac:dyDescent="0.3">
      <c r="A91" t="s">
        <v>233</v>
      </c>
      <c r="B91" t="s">
        <v>235</v>
      </c>
      <c r="C91" t="s">
        <v>236</v>
      </c>
      <c r="D91" t="s">
        <v>21</v>
      </c>
      <c r="E91" t="s">
        <v>234</v>
      </c>
      <c r="F91" t="s">
        <v>237</v>
      </c>
      <c r="G91" s="1">
        <v>81</v>
      </c>
      <c r="H91" t="s">
        <v>220</v>
      </c>
      <c r="I91" t="s">
        <v>29</v>
      </c>
      <c r="J91" t="s">
        <v>238</v>
      </c>
      <c r="K91" t="s">
        <v>21</v>
      </c>
      <c r="L91" t="s">
        <v>48</v>
      </c>
      <c r="M91" s="1">
        <v>5</v>
      </c>
      <c r="N91" s="4">
        <v>43286</v>
      </c>
      <c r="O91" s="2">
        <v>385.09</v>
      </c>
      <c r="P91" s="2">
        <v>719.35</v>
      </c>
      <c r="Q91" s="2">
        <v>0</v>
      </c>
      <c r="R91" s="2">
        <f t="shared" si="39"/>
        <v>1104.44</v>
      </c>
      <c r="S91" t="s">
        <v>31</v>
      </c>
      <c r="T91" t="s">
        <v>0</v>
      </c>
      <c r="U91" s="5">
        <f t="shared" ca="1" si="22"/>
        <v>2804</v>
      </c>
      <c r="V91" s="37">
        <f t="shared" ca="1" si="21"/>
        <v>35.96750000000003</v>
      </c>
      <c r="W91" s="38">
        <f t="shared" ca="1" si="23"/>
        <v>421.0575</v>
      </c>
      <c r="X91" s="38">
        <f t="shared" ca="1" si="24"/>
        <v>387.37290000000002</v>
      </c>
      <c r="Y91" s="39">
        <f t="shared" ca="1" si="40"/>
        <v>189.475875</v>
      </c>
      <c r="Z91" s="39">
        <f t="shared" ca="1" si="25"/>
        <v>231.581625</v>
      </c>
      <c r="AA91" s="40" t="str">
        <f t="shared" ca="1" si="26"/>
        <v>R$ 57,90 x 4 Parcelas</v>
      </c>
      <c r="AC91" s="17">
        <f t="shared" si="27"/>
        <v>728.18000000000006</v>
      </c>
      <c r="AD91" s="17">
        <f t="shared" si="28"/>
        <v>1104.44</v>
      </c>
      <c r="AE91" s="17">
        <f t="shared" ca="1" si="29"/>
        <v>938.774</v>
      </c>
      <c r="AF91" s="17">
        <f t="shared" ca="1" si="30"/>
        <v>773.10799999999995</v>
      </c>
      <c r="AG91" s="17">
        <f t="shared" ca="1" si="31"/>
        <v>331.33200000000011</v>
      </c>
      <c r="AH91" s="15" t="str">
        <f t="shared" ca="1" si="32"/>
        <v>R$ 82,83 x 4 Parcelas</v>
      </c>
      <c r="AJ91" s="41">
        <f t="shared" si="33"/>
        <v>728.18000000000006</v>
      </c>
      <c r="AK91" s="42">
        <f t="shared" si="34"/>
        <v>1104.44</v>
      </c>
      <c r="AL91" s="43">
        <f t="shared" ca="1" si="35"/>
        <v>993.99600000000009</v>
      </c>
      <c r="AM91" s="43">
        <f t="shared" ca="1" si="36"/>
        <v>662.66399999999999</v>
      </c>
      <c r="AN91" s="43">
        <f t="shared" ca="1" si="37"/>
        <v>265.81600000000003</v>
      </c>
      <c r="AO91" s="44" t="str">
        <f t="shared" ca="1" si="38"/>
        <v>R$ 66,45 x 4 Parcelas</v>
      </c>
    </row>
    <row r="92" spans="1:41" x14ac:dyDescent="0.3">
      <c r="A92" t="s">
        <v>233</v>
      </c>
      <c r="B92" t="s">
        <v>235</v>
      </c>
      <c r="C92" t="s">
        <v>236</v>
      </c>
      <c r="D92" t="s">
        <v>21</v>
      </c>
      <c r="E92" t="s">
        <v>234</v>
      </c>
      <c r="F92" t="s">
        <v>237</v>
      </c>
      <c r="G92" s="1">
        <v>81</v>
      </c>
      <c r="H92" t="s">
        <v>220</v>
      </c>
      <c r="I92" t="s">
        <v>29</v>
      </c>
      <c r="J92" t="s">
        <v>238</v>
      </c>
      <c r="K92" t="s">
        <v>21</v>
      </c>
      <c r="L92" t="s">
        <v>48</v>
      </c>
      <c r="M92" s="1">
        <v>6</v>
      </c>
      <c r="N92" s="4">
        <v>43317</v>
      </c>
      <c r="O92" s="2">
        <v>385.09</v>
      </c>
      <c r="P92" s="2">
        <v>711.13</v>
      </c>
      <c r="Q92" s="2">
        <v>0</v>
      </c>
      <c r="R92" s="2">
        <f t="shared" si="39"/>
        <v>1096.22</v>
      </c>
      <c r="S92" t="s">
        <v>31</v>
      </c>
      <c r="T92" t="s">
        <v>0</v>
      </c>
      <c r="U92" s="5">
        <f t="shared" ca="1" si="22"/>
        <v>2773</v>
      </c>
      <c r="V92" s="37">
        <f t="shared" ca="1" si="21"/>
        <v>35.556500000000028</v>
      </c>
      <c r="W92" s="38">
        <f t="shared" ca="1" si="23"/>
        <v>420.6465</v>
      </c>
      <c r="X92" s="38">
        <f t="shared" ca="1" si="24"/>
        <v>386.99477999999999</v>
      </c>
      <c r="Y92" s="39">
        <f t="shared" ca="1" si="40"/>
        <v>189.29092500000002</v>
      </c>
      <c r="Z92" s="39">
        <f t="shared" ca="1" si="25"/>
        <v>231.35557499999999</v>
      </c>
      <c r="AA92" s="40" t="str">
        <f t="shared" ca="1" si="26"/>
        <v>R$ 57,84 x 4 Parcelas</v>
      </c>
      <c r="AC92" s="17">
        <f t="shared" si="27"/>
        <v>719.96</v>
      </c>
      <c r="AD92" s="17">
        <f t="shared" si="28"/>
        <v>1096.22</v>
      </c>
      <c r="AE92" s="17">
        <f t="shared" ca="1" si="29"/>
        <v>931.78700000000003</v>
      </c>
      <c r="AF92" s="17">
        <f t="shared" ca="1" si="30"/>
        <v>767.35399999999993</v>
      </c>
      <c r="AG92" s="17">
        <f t="shared" ca="1" si="31"/>
        <v>328.8660000000001</v>
      </c>
      <c r="AH92" s="15" t="str">
        <f t="shared" ca="1" si="32"/>
        <v>R$ 82,22 x 4 Parcelas</v>
      </c>
      <c r="AJ92" s="41">
        <f t="shared" si="33"/>
        <v>719.96</v>
      </c>
      <c r="AK92" s="42">
        <f t="shared" si="34"/>
        <v>1096.22</v>
      </c>
      <c r="AL92" s="43">
        <f t="shared" ca="1" si="35"/>
        <v>986.59800000000007</v>
      </c>
      <c r="AM92" s="43">
        <f t="shared" ca="1" si="36"/>
        <v>657.73199999999997</v>
      </c>
      <c r="AN92" s="43">
        <f t="shared" ca="1" si="37"/>
        <v>266.63800000000003</v>
      </c>
      <c r="AO92" s="44" t="str">
        <f t="shared" ca="1" si="38"/>
        <v>R$ 66,66 x 4 Parcelas</v>
      </c>
    </row>
    <row r="93" spans="1:41" x14ac:dyDescent="0.3">
      <c r="A93" t="s">
        <v>246</v>
      </c>
      <c r="B93" t="s">
        <v>248</v>
      </c>
      <c r="C93" t="s">
        <v>249</v>
      </c>
      <c r="D93" t="s">
        <v>36</v>
      </c>
      <c r="E93" t="s">
        <v>247</v>
      </c>
      <c r="F93" t="s">
        <v>250</v>
      </c>
      <c r="G93" s="1">
        <v>246</v>
      </c>
      <c r="H93" t="s">
        <v>46</v>
      </c>
      <c r="I93" t="s">
        <v>29</v>
      </c>
      <c r="J93" s="1">
        <v>79002233</v>
      </c>
      <c r="K93" t="s">
        <v>251</v>
      </c>
      <c r="L93" t="s">
        <v>48</v>
      </c>
      <c r="M93" s="1">
        <v>1</v>
      </c>
      <c r="N93" s="4">
        <v>43320</v>
      </c>
      <c r="O93" s="2">
        <v>1402.05</v>
      </c>
      <c r="P93" s="2">
        <v>2587.25</v>
      </c>
      <c r="Q93" s="2">
        <v>0</v>
      </c>
      <c r="R93" s="2">
        <f t="shared" si="39"/>
        <v>3989.3</v>
      </c>
      <c r="S93" t="s">
        <v>31</v>
      </c>
      <c r="T93" t="s">
        <v>245</v>
      </c>
      <c r="U93" s="5">
        <f t="shared" ca="1" si="22"/>
        <v>2770</v>
      </c>
      <c r="V93" s="37">
        <f t="shared" ca="1" si="21"/>
        <v>129.36250000000013</v>
      </c>
      <c r="W93" s="38">
        <f t="shared" ca="1" si="23"/>
        <v>1531.4125000000001</v>
      </c>
      <c r="X93" s="38">
        <f t="shared" ca="1" si="24"/>
        <v>1408.8995000000002</v>
      </c>
      <c r="Y93" s="39">
        <f t="shared" ca="1" si="40"/>
        <v>689.13562500000012</v>
      </c>
      <c r="Z93" s="39">
        <f t="shared" ca="1" si="25"/>
        <v>842.27687500000002</v>
      </c>
      <c r="AA93" s="40" t="str">
        <f t="shared" ca="1" si="26"/>
        <v>R$ 210,57 x 4 Parcelas</v>
      </c>
      <c r="AC93" s="17">
        <f t="shared" si="27"/>
        <v>2596.08</v>
      </c>
      <c r="AD93" s="17">
        <f t="shared" si="28"/>
        <v>3989.3</v>
      </c>
      <c r="AE93" s="17">
        <f t="shared" ca="1" si="29"/>
        <v>3390.9050000000002</v>
      </c>
      <c r="AF93" s="17">
        <f t="shared" ca="1" si="30"/>
        <v>2792.5099999999998</v>
      </c>
      <c r="AG93" s="17">
        <f t="shared" ca="1" si="31"/>
        <v>1196.7900000000004</v>
      </c>
      <c r="AH93" s="15" t="str">
        <f t="shared" ca="1" si="32"/>
        <v>R$ 299,20 x 4 Parcelas</v>
      </c>
      <c r="AJ93" s="41">
        <f t="shared" si="33"/>
        <v>2596.08</v>
      </c>
      <c r="AK93" s="42">
        <f t="shared" si="34"/>
        <v>3989.3</v>
      </c>
      <c r="AL93" s="43">
        <f t="shared" ca="1" si="35"/>
        <v>3590.3700000000003</v>
      </c>
      <c r="AM93" s="43">
        <f t="shared" ca="1" si="36"/>
        <v>2393.58</v>
      </c>
      <c r="AN93" s="43">
        <f t="shared" ca="1" si="37"/>
        <v>994.29000000000042</v>
      </c>
      <c r="AO93" s="44" t="str">
        <f t="shared" ca="1" si="38"/>
        <v>R$ 248,57 x 4 Parcelas</v>
      </c>
    </row>
    <row r="94" spans="1:41" x14ac:dyDescent="0.3">
      <c r="A94" t="s">
        <v>233</v>
      </c>
      <c r="B94" t="s">
        <v>235</v>
      </c>
      <c r="C94" t="s">
        <v>236</v>
      </c>
      <c r="D94" t="s">
        <v>21</v>
      </c>
      <c r="E94" t="s">
        <v>234</v>
      </c>
      <c r="F94" t="s">
        <v>237</v>
      </c>
      <c r="G94" s="1">
        <v>81</v>
      </c>
      <c r="H94" t="s">
        <v>220</v>
      </c>
      <c r="I94" t="s">
        <v>29</v>
      </c>
      <c r="J94" t="s">
        <v>238</v>
      </c>
      <c r="K94" t="s">
        <v>21</v>
      </c>
      <c r="L94" t="s">
        <v>48</v>
      </c>
      <c r="M94" s="1">
        <v>7</v>
      </c>
      <c r="N94" s="4">
        <v>43348</v>
      </c>
      <c r="O94" s="2">
        <v>385.09</v>
      </c>
      <c r="P94" s="2">
        <v>703.43</v>
      </c>
      <c r="Q94" s="2">
        <v>0</v>
      </c>
      <c r="R94" s="2">
        <f t="shared" si="39"/>
        <v>1088.52</v>
      </c>
      <c r="S94" t="s">
        <v>31</v>
      </c>
      <c r="T94" t="s">
        <v>0</v>
      </c>
      <c r="U94" s="5">
        <f t="shared" ca="1" si="22"/>
        <v>2742</v>
      </c>
      <c r="V94" s="37">
        <f t="shared" ca="1" si="21"/>
        <v>35.17150000000003</v>
      </c>
      <c r="W94" s="38">
        <f t="shared" ca="1" si="23"/>
        <v>420.26150000000001</v>
      </c>
      <c r="X94" s="38">
        <f t="shared" ca="1" si="24"/>
        <v>386.64058</v>
      </c>
      <c r="Y94" s="39">
        <f t="shared" ca="1" si="40"/>
        <v>189.11767500000002</v>
      </c>
      <c r="Z94" s="39">
        <f t="shared" ca="1" si="25"/>
        <v>231.14382499999999</v>
      </c>
      <c r="AA94" s="40" t="str">
        <f t="shared" ca="1" si="26"/>
        <v>R$ 57,79 x 4 Parcelas</v>
      </c>
      <c r="AC94" s="17">
        <f t="shared" si="27"/>
        <v>712.26</v>
      </c>
      <c r="AD94" s="17">
        <f t="shared" si="28"/>
        <v>1088.52</v>
      </c>
      <c r="AE94" s="17">
        <f t="shared" ca="1" si="29"/>
        <v>925.24199999999996</v>
      </c>
      <c r="AF94" s="17">
        <f t="shared" ca="1" si="30"/>
        <v>761.96399999999994</v>
      </c>
      <c r="AG94" s="17">
        <f t="shared" ca="1" si="31"/>
        <v>326.55600000000004</v>
      </c>
      <c r="AH94" s="15" t="str">
        <f t="shared" ca="1" si="32"/>
        <v>R$ 81,64 x 4 Parcelas</v>
      </c>
      <c r="AJ94" s="41">
        <f t="shared" si="33"/>
        <v>712.26</v>
      </c>
      <c r="AK94" s="42">
        <f t="shared" si="34"/>
        <v>1088.52</v>
      </c>
      <c r="AL94" s="43">
        <f t="shared" ca="1" si="35"/>
        <v>979.66800000000001</v>
      </c>
      <c r="AM94" s="43">
        <f t="shared" ca="1" si="36"/>
        <v>653.11199999999997</v>
      </c>
      <c r="AN94" s="43">
        <f t="shared" ca="1" si="37"/>
        <v>267.40800000000002</v>
      </c>
      <c r="AO94" s="44" t="str">
        <f t="shared" ca="1" si="38"/>
        <v>R$ 66,85 x 4 Parcelas</v>
      </c>
    </row>
    <row r="95" spans="1:41" x14ac:dyDescent="0.3">
      <c r="A95" t="s">
        <v>252</v>
      </c>
      <c r="B95" t="s">
        <v>254</v>
      </c>
      <c r="C95" t="s">
        <v>255</v>
      </c>
      <c r="D95" t="s">
        <v>36</v>
      </c>
      <c r="E95" t="s">
        <v>253</v>
      </c>
      <c r="F95" t="s">
        <v>256</v>
      </c>
      <c r="G95" s="1">
        <v>623</v>
      </c>
      <c r="H95" t="s">
        <v>257</v>
      </c>
      <c r="I95" t="s">
        <v>29</v>
      </c>
      <c r="J95" s="1">
        <v>79032390</v>
      </c>
      <c r="K95" t="s">
        <v>258</v>
      </c>
      <c r="L95" t="s">
        <v>48</v>
      </c>
      <c r="M95" s="1">
        <v>1</v>
      </c>
      <c r="N95" s="4">
        <v>43363</v>
      </c>
      <c r="O95" s="2">
        <v>274.95999999999998</v>
      </c>
      <c r="P95" s="2">
        <v>499.51</v>
      </c>
      <c r="Q95" s="2">
        <v>0</v>
      </c>
      <c r="R95" s="2">
        <f t="shared" si="39"/>
        <v>774.47</v>
      </c>
      <c r="S95" t="s">
        <v>31</v>
      </c>
      <c r="T95" t="s">
        <v>245</v>
      </c>
      <c r="U95" s="5">
        <f t="shared" ca="1" si="22"/>
        <v>2727</v>
      </c>
      <c r="V95" s="37">
        <f t="shared" ca="1" si="21"/>
        <v>24.975500000000022</v>
      </c>
      <c r="W95" s="38">
        <f t="shared" ca="1" si="23"/>
        <v>299.93549999999999</v>
      </c>
      <c r="X95" s="38">
        <f t="shared" ca="1" si="24"/>
        <v>275.94065999999998</v>
      </c>
      <c r="Y95" s="39">
        <f t="shared" ca="1" si="40"/>
        <v>134.97097500000001</v>
      </c>
      <c r="Z95" s="39">
        <f t="shared" ca="1" si="25"/>
        <v>164.96452499999998</v>
      </c>
      <c r="AA95" s="40" t="str">
        <f t="shared" ca="1" si="26"/>
        <v>R$ 41,24 x 4 Parcelas</v>
      </c>
      <c r="AC95" s="17">
        <f t="shared" si="27"/>
        <v>508.34</v>
      </c>
      <c r="AD95" s="17">
        <f t="shared" si="28"/>
        <v>774.47</v>
      </c>
      <c r="AE95" s="17">
        <f t="shared" ca="1" si="29"/>
        <v>658.29949999999997</v>
      </c>
      <c r="AF95" s="17">
        <f t="shared" ca="1" si="30"/>
        <v>542.12900000000002</v>
      </c>
      <c r="AG95" s="17">
        <f t="shared" ca="1" si="31"/>
        <v>232.34100000000001</v>
      </c>
      <c r="AH95" s="15" t="str">
        <f t="shared" ca="1" si="32"/>
        <v>R$ 58,09 x 4 Parcelas</v>
      </c>
      <c r="AJ95" s="41">
        <f t="shared" si="33"/>
        <v>508.34</v>
      </c>
      <c r="AK95" s="42">
        <f t="shared" si="34"/>
        <v>774.47</v>
      </c>
      <c r="AL95" s="43">
        <f t="shared" ca="1" si="35"/>
        <v>697.02300000000002</v>
      </c>
      <c r="AM95" s="43">
        <f t="shared" ca="1" si="36"/>
        <v>464.68200000000002</v>
      </c>
      <c r="AN95" s="43">
        <f t="shared" ca="1" si="37"/>
        <v>188.68300000000005</v>
      </c>
      <c r="AO95" s="44" t="str">
        <f t="shared" ca="1" si="38"/>
        <v>R$ 47,17 x 4 Parcelas</v>
      </c>
    </row>
    <row r="96" spans="1:41" x14ac:dyDescent="0.3">
      <c r="A96" t="s">
        <v>233</v>
      </c>
      <c r="B96" t="s">
        <v>235</v>
      </c>
      <c r="C96" t="s">
        <v>236</v>
      </c>
      <c r="D96" t="s">
        <v>21</v>
      </c>
      <c r="E96" t="s">
        <v>234</v>
      </c>
      <c r="F96" t="s">
        <v>237</v>
      </c>
      <c r="G96" s="1">
        <v>81</v>
      </c>
      <c r="H96" t="s">
        <v>220</v>
      </c>
      <c r="I96" t="s">
        <v>29</v>
      </c>
      <c r="J96" t="s">
        <v>238</v>
      </c>
      <c r="K96" t="s">
        <v>21</v>
      </c>
      <c r="L96" t="s">
        <v>48</v>
      </c>
      <c r="M96" s="1">
        <v>8</v>
      </c>
      <c r="N96" s="4">
        <v>43378</v>
      </c>
      <c r="O96" s="2">
        <v>385.09</v>
      </c>
      <c r="P96" s="2">
        <v>695.73</v>
      </c>
      <c r="Q96" s="2">
        <v>0</v>
      </c>
      <c r="R96" s="2">
        <f t="shared" si="39"/>
        <v>1080.82</v>
      </c>
      <c r="S96" t="s">
        <v>31</v>
      </c>
      <c r="T96" t="s">
        <v>0</v>
      </c>
      <c r="U96" s="5">
        <f t="shared" ca="1" si="22"/>
        <v>2712</v>
      </c>
      <c r="V96" s="37">
        <f t="shared" ca="1" si="21"/>
        <v>34.786500000000032</v>
      </c>
      <c r="W96" s="38">
        <f t="shared" ca="1" si="23"/>
        <v>419.87650000000002</v>
      </c>
      <c r="X96" s="38">
        <f t="shared" ca="1" si="24"/>
        <v>386.28638000000001</v>
      </c>
      <c r="Y96" s="39">
        <f t="shared" ca="1" si="40"/>
        <v>188.94442500000002</v>
      </c>
      <c r="Z96" s="39">
        <f t="shared" ca="1" si="25"/>
        <v>230.932075</v>
      </c>
      <c r="AA96" s="40" t="str">
        <f t="shared" ca="1" si="26"/>
        <v>R$ 57,73 x 4 Parcelas</v>
      </c>
      <c r="AC96" s="17">
        <f t="shared" si="27"/>
        <v>702.65</v>
      </c>
      <c r="AD96" s="17">
        <f t="shared" si="28"/>
        <v>1080.82</v>
      </c>
      <c r="AE96" s="17">
        <f t="shared" ca="1" si="29"/>
        <v>918.69699999999989</v>
      </c>
      <c r="AF96" s="17">
        <f t="shared" ca="1" si="30"/>
        <v>756.57399999999996</v>
      </c>
      <c r="AG96" s="17">
        <f t="shared" ca="1" si="31"/>
        <v>324.24599999999998</v>
      </c>
      <c r="AH96" s="15" t="str">
        <f t="shared" ca="1" si="32"/>
        <v>R$ 81,06 x 4 Parcelas</v>
      </c>
      <c r="AJ96" s="41">
        <f t="shared" si="33"/>
        <v>702.65</v>
      </c>
      <c r="AK96" s="42">
        <f t="shared" si="34"/>
        <v>1080.82</v>
      </c>
      <c r="AL96" s="43">
        <f t="shared" ca="1" si="35"/>
        <v>972.73799999999994</v>
      </c>
      <c r="AM96" s="43">
        <f t="shared" ca="1" si="36"/>
        <v>648.49199999999996</v>
      </c>
      <c r="AN96" s="43">
        <f t="shared" ca="1" si="37"/>
        <v>270.08799999999997</v>
      </c>
      <c r="AO96" s="44" t="str">
        <f t="shared" ca="1" si="38"/>
        <v>R$ 67,52 x 4 Parcelas</v>
      </c>
    </row>
    <row r="97" spans="1:41" x14ac:dyDescent="0.3">
      <c r="A97" t="s">
        <v>233</v>
      </c>
      <c r="B97" t="s">
        <v>235</v>
      </c>
      <c r="C97" t="s">
        <v>236</v>
      </c>
      <c r="D97" t="s">
        <v>21</v>
      </c>
      <c r="E97" t="s">
        <v>234</v>
      </c>
      <c r="F97" t="s">
        <v>237</v>
      </c>
      <c r="G97" s="1">
        <v>81</v>
      </c>
      <c r="H97" t="s">
        <v>220</v>
      </c>
      <c r="I97" t="s">
        <v>29</v>
      </c>
      <c r="J97" t="s">
        <v>238</v>
      </c>
      <c r="K97" t="s">
        <v>21</v>
      </c>
      <c r="L97" t="s">
        <v>48</v>
      </c>
      <c r="M97" s="1">
        <v>9</v>
      </c>
      <c r="N97" s="4">
        <v>43409</v>
      </c>
      <c r="O97" s="2">
        <v>385.09</v>
      </c>
      <c r="P97" s="2">
        <v>687.77</v>
      </c>
      <c r="Q97" s="2">
        <v>0</v>
      </c>
      <c r="R97" s="2">
        <f t="shared" si="39"/>
        <v>1072.8599999999999</v>
      </c>
      <c r="S97" t="s">
        <v>31</v>
      </c>
      <c r="T97" t="s">
        <v>0</v>
      </c>
      <c r="U97" s="5">
        <f t="shared" ca="1" si="22"/>
        <v>2681</v>
      </c>
      <c r="V97" s="37">
        <f t="shared" ca="1" si="21"/>
        <v>34.388500000000029</v>
      </c>
      <c r="W97" s="38">
        <f t="shared" ca="1" si="23"/>
        <v>419.4785</v>
      </c>
      <c r="X97" s="38">
        <f t="shared" ca="1" si="24"/>
        <v>385.92022000000003</v>
      </c>
      <c r="Y97" s="39">
        <f t="shared" ca="1" si="40"/>
        <v>188.76532499999999</v>
      </c>
      <c r="Z97" s="39">
        <f t="shared" ca="1" si="25"/>
        <v>230.71317500000001</v>
      </c>
      <c r="AA97" s="40" t="str">
        <f t="shared" ca="1" si="26"/>
        <v>R$ 57,68 x 4 Parcelas</v>
      </c>
      <c r="AC97" s="17">
        <f t="shared" si="27"/>
        <v>695.44999999999993</v>
      </c>
      <c r="AD97" s="17">
        <f t="shared" si="28"/>
        <v>1072.8599999999999</v>
      </c>
      <c r="AE97" s="17">
        <f t="shared" ca="1" si="29"/>
        <v>911.93099999999993</v>
      </c>
      <c r="AF97" s="17">
        <f t="shared" ca="1" si="30"/>
        <v>751.00199999999984</v>
      </c>
      <c r="AG97" s="17">
        <f t="shared" ca="1" si="31"/>
        <v>321.85800000000006</v>
      </c>
      <c r="AH97" s="15" t="str">
        <f t="shared" ca="1" si="32"/>
        <v>R$ 80,46 x 4 Parcelas</v>
      </c>
      <c r="AJ97" s="41">
        <f t="shared" si="33"/>
        <v>695.44999999999993</v>
      </c>
      <c r="AK97" s="42">
        <f t="shared" si="34"/>
        <v>1072.8599999999999</v>
      </c>
      <c r="AL97" s="43">
        <f t="shared" ca="1" si="35"/>
        <v>965.57399999999996</v>
      </c>
      <c r="AM97" s="43">
        <f t="shared" ca="1" si="36"/>
        <v>643.71599999999989</v>
      </c>
      <c r="AN97" s="43">
        <f t="shared" ca="1" si="37"/>
        <v>270.12400000000002</v>
      </c>
      <c r="AO97" s="44" t="str">
        <f t="shared" ca="1" si="38"/>
        <v>R$ 67,53 x 4 Parcelas</v>
      </c>
    </row>
    <row r="98" spans="1:41" x14ac:dyDescent="0.3">
      <c r="A98" t="s">
        <v>260</v>
      </c>
      <c r="B98" t="s">
        <v>21</v>
      </c>
      <c r="C98" t="s">
        <v>261</v>
      </c>
      <c r="D98" t="s">
        <v>21</v>
      </c>
      <c r="E98" t="s">
        <v>259</v>
      </c>
      <c r="F98" t="s">
        <v>262</v>
      </c>
      <c r="G98" s="1">
        <v>1539</v>
      </c>
      <c r="H98" t="s">
        <v>263</v>
      </c>
      <c r="I98" t="s">
        <v>29</v>
      </c>
      <c r="J98" t="s">
        <v>264</v>
      </c>
      <c r="K98" t="s">
        <v>21</v>
      </c>
      <c r="L98" t="s">
        <v>48</v>
      </c>
      <c r="M98" s="1">
        <v>5</v>
      </c>
      <c r="N98" s="4">
        <v>43419</v>
      </c>
      <c r="O98" s="2">
        <v>290.27</v>
      </c>
      <c r="P98" s="2">
        <v>774.44</v>
      </c>
      <c r="Q98" s="2">
        <v>5.81</v>
      </c>
      <c r="R98" s="2">
        <f t="shared" si="39"/>
        <v>1064.71</v>
      </c>
      <c r="S98" t="s">
        <v>31</v>
      </c>
      <c r="T98" t="s">
        <v>0</v>
      </c>
      <c r="U98" s="5">
        <f t="shared" ca="1" si="22"/>
        <v>2671</v>
      </c>
      <c r="V98" s="37">
        <f t="shared" ca="1" si="21"/>
        <v>38.722000000000037</v>
      </c>
      <c r="W98" s="38">
        <f t="shared" ca="1" si="23"/>
        <v>328.99200000000002</v>
      </c>
      <c r="X98" s="38">
        <f t="shared" ca="1" si="24"/>
        <v>302.67264000000006</v>
      </c>
      <c r="Y98" s="39">
        <f t="shared" ca="1" si="40"/>
        <v>148.04640000000001</v>
      </c>
      <c r="Z98" s="39">
        <f t="shared" ca="1" si="25"/>
        <v>180.94560000000001</v>
      </c>
      <c r="AA98" s="40" t="str">
        <f t="shared" ca="1" si="26"/>
        <v>R$ 45,24 x 4 Parcelas</v>
      </c>
      <c r="AC98" s="17">
        <f t="shared" si="27"/>
        <v>779.7600000000001</v>
      </c>
      <c r="AD98" s="17">
        <f t="shared" si="28"/>
        <v>1064.71</v>
      </c>
      <c r="AE98" s="17">
        <f t="shared" ca="1" si="29"/>
        <v>905.00350000000003</v>
      </c>
      <c r="AF98" s="17">
        <f t="shared" ca="1" si="30"/>
        <v>745.29700000000003</v>
      </c>
      <c r="AG98" s="17">
        <f t="shared" ca="1" si="31"/>
        <v>319.41300000000001</v>
      </c>
      <c r="AH98" s="15" t="str">
        <f t="shared" ca="1" si="32"/>
        <v>R$ 79,85 x 4 Parcelas</v>
      </c>
      <c r="AJ98" s="41">
        <f t="shared" si="33"/>
        <v>779.7600000000001</v>
      </c>
      <c r="AK98" s="42">
        <f t="shared" si="34"/>
        <v>1064.71</v>
      </c>
      <c r="AL98" s="43">
        <f t="shared" ca="1" si="35"/>
        <v>958.23900000000003</v>
      </c>
      <c r="AM98" s="43">
        <f t="shared" ca="1" si="36"/>
        <v>638.82600000000002</v>
      </c>
      <c r="AN98" s="43">
        <f t="shared" ca="1" si="37"/>
        <v>178.47899999999993</v>
      </c>
      <c r="AO98" s="44" t="str">
        <f t="shared" ca="1" si="38"/>
        <v>R$ 44,62 x 4 Parcelas</v>
      </c>
    </row>
    <row r="99" spans="1:41" x14ac:dyDescent="0.3">
      <c r="A99" t="s">
        <v>233</v>
      </c>
      <c r="B99" t="s">
        <v>235</v>
      </c>
      <c r="C99" t="s">
        <v>236</v>
      </c>
      <c r="D99" t="s">
        <v>21</v>
      </c>
      <c r="E99" t="s">
        <v>234</v>
      </c>
      <c r="F99" t="s">
        <v>237</v>
      </c>
      <c r="G99" s="1">
        <v>81</v>
      </c>
      <c r="H99" t="s">
        <v>220</v>
      </c>
      <c r="I99" t="s">
        <v>29</v>
      </c>
      <c r="J99" t="s">
        <v>238</v>
      </c>
      <c r="K99" t="s">
        <v>21</v>
      </c>
      <c r="L99" t="s">
        <v>48</v>
      </c>
      <c r="M99" s="1">
        <v>10</v>
      </c>
      <c r="N99" s="4">
        <v>43439</v>
      </c>
      <c r="O99" s="2">
        <v>385.09</v>
      </c>
      <c r="P99" s="2">
        <v>680.07</v>
      </c>
      <c r="Q99" s="2">
        <v>0</v>
      </c>
      <c r="R99" s="2">
        <f t="shared" si="39"/>
        <v>1065.1600000000001</v>
      </c>
      <c r="S99" t="s">
        <v>31</v>
      </c>
      <c r="T99" t="s">
        <v>0</v>
      </c>
      <c r="U99" s="5">
        <f t="shared" ca="1" si="22"/>
        <v>2651</v>
      </c>
      <c r="V99" s="37">
        <f t="shared" ca="1" si="21"/>
        <v>34.003500000000031</v>
      </c>
      <c r="W99" s="38">
        <f t="shared" ca="1" si="23"/>
        <v>419.09350000000001</v>
      </c>
      <c r="X99" s="38">
        <f t="shared" ca="1" si="24"/>
        <v>385.56602000000004</v>
      </c>
      <c r="Y99" s="39">
        <f t="shared" ca="1" si="40"/>
        <v>188.59207499999999</v>
      </c>
      <c r="Z99" s="39">
        <f t="shared" ca="1" si="25"/>
        <v>230.50142500000001</v>
      </c>
      <c r="AA99" s="40" t="str">
        <f t="shared" ca="1" si="26"/>
        <v>R$ 57,63 x 4 Parcelas</v>
      </c>
      <c r="AC99" s="17">
        <f t="shared" si="27"/>
        <v>680.2700000000001</v>
      </c>
      <c r="AD99" s="17">
        <f t="shared" si="28"/>
        <v>1065.1600000000001</v>
      </c>
      <c r="AE99" s="17">
        <f t="shared" ca="1" si="29"/>
        <v>905.38600000000008</v>
      </c>
      <c r="AF99" s="17">
        <f t="shared" ca="1" si="30"/>
        <v>745.61199999999997</v>
      </c>
      <c r="AG99" s="17">
        <f t="shared" ca="1" si="31"/>
        <v>319.54800000000012</v>
      </c>
      <c r="AH99" s="15" t="str">
        <f t="shared" ca="1" si="32"/>
        <v>R$ 79,89 x 4 Parcelas</v>
      </c>
      <c r="AJ99" s="41">
        <f t="shared" si="33"/>
        <v>680.2700000000001</v>
      </c>
      <c r="AK99" s="42">
        <f t="shared" si="34"/>
        <v>1065.1600000000001</v>
      </c>
      <c r="AL99" s="43">
        <f t="shared" ca="1" si="35"/>
        <v>958.64400000000012</v>
      </c>
      <c r="AM99" s="43">
        <f t="shared" ca="1" si="36"/>
        <v>639.096</v>
      </c>
      <c r="AN99" s="43">
        <f t="shared" ca="1" si="37"/>
        <v>278.37400000000002</v>
      </c>
      <c r="AO99" s="44" t="str">
        <f t="shared" ca="1" si="38"/>
        <v>R$ 69,59 x 4 Parcelas</v>
      </c>
    </row>
    <row r="100" spans="1:41" x14ac:dyDescent="0.3">
      <c r="A100" t="s">
        <v>260</v>
      </c>
      <c r="B100" t="s">
        <v>21</v>
      </c>
      <c r="C100" t="s">
        <v>261</v>
      </c>
      <c r="D100" t="s">
        <v>21</v>
      </c>
      <c r="E100" t="s">
        <v>259</v>
      </c>
      <c r="F100" t="s">
        <v>262</v>
      </c>
      <c r="G100" s="1">
        <v>1539</v>
      </c>
      <c r="H100" t="s">
        <v>263</v>
      </c>
      <c r="I100" t="s">
        <v>29</v>
      </c>
      <c r="J100" t="s">
        <v>264</v>
      </c>
      <c r="K100" t="s">
        <v>21</v>
      </c>
      <c r="L100" t="s">
        <v>48</v>
      </c>
      <c r="M100" s="1">
        <v>6</v>
      </c>
      <c r="N100" s="4">
        <v>43449</v>
      </c>
      <c r="O100" s="2">
        <v>290.27</v>
      </c>
      <c r="P100" s="2">
        <v>765.44</v>
      </c>
      <c r="Q100" s="2">
        <v>5.81</v>
      </c>
      <c r="R100" s="2">
        <f t="shared" si="39"/>
        <v>1055.71</v>
      </c>
      <c r="S100" t="s">
        <v>31</v>
      </c>
      <c r="T100" t="s">
        <v>0</v>
      </c>
      <c r="U100" s="5">
        <f t="shared" ca="1" si="22"/>
        <v>2641</v>
      </c>
      <c r="V100" s="37">
        <f t="shared" ca="1" si="21"/>
        <v>38.272000000000034</v>
      </c>
      <c r="W100" s="38">
        <f t="shared" ca="1" si="23"/>
        <v>328.54200000000003</v>
      </c>
      <c r="X100" s="38">
        <f t="shared" ca="1" si="24"/>
        <v>302.25864000000001</v>
      </c>
      <c r="Y100" s="39">
        <f t="shared" ca="1" si="40"/>
        <v>147.84390000000002</v>
      </c>
      <c r="Z100" s="39">
        <f t="shared" ca="1" si="25"/>
        <v>180.69810000000001</v>
      </c>
      <c r="AA100" s="40" t="str">
        <f t="shared" ref="AA100:AA131" ca="1" si="41">(TEXT(Z100/VLOOKUP(U100,$BC$4:$BG$11,5,1),"R$ #.##0,00")&amp;" x "&amp;VLOOKUP(U100,$BC$3:$BG$11,5,1)&amp;" Parcelas")</f>
        <v>R$ 45,17 x 4 Parcelas</v>
      </c>
      <c r="AC100" s="17">
        <f t="shared" si="27"/>
        <v>772.54000000000008</v>
      </c>
      <c r="AD100" s="17">
        <f t="shared" si="28"/>
        <v>1055.71</v>
      </c>
      <c r="AE100" s="17">
        <f t="shared" ca="1" si="29"/>
        <v>897.35350000000005</v>
      </c>
      <c r="AF100" s="17">
        <f t="shared" ca="1" si="30"/>
        <v>738.99699999999996</v>
      </c>
      <c r="AG100" s="17">
        <f t="shared" ca="1" si="31"/>
        <v>316.71300000000008</v>
      </c>
      <c r="AH100" s="15" t="str">
        <f t="shared" ca="1" si="32"/>
        <v>R$ 79,18 x 4 Parcelas</v>
      </c>
      <c r="AJ100" s="41">
        <f t="shared" si="33"/>
        <v>772.54000000000008</v>
      </c>
      <c r="AK100" s="42">
        <f t="shared" si="34"/>
        <v>1055.71</v>
      </c>
      <c r="AL100" s="43">
        <f t="shared" ca="1" si="35"/>
        <v>950.13900000000001</v>
      </c>
      <c r="AM100" s="43">
        <f t="shared" ca="1" si="36"/>
        <v>633.42600000000004</v>
      </c>
      <c r="AN100" s="43">
        <f t="shared" ca="1" si="37"/>
        <v>177.59899999999993</v>
      </c>
      <c r="AO100" s="44" t="str">
        <f t="shared" ca="1" si="38"/>
        <v>R$ 44,40 x 4 Parcelas</v>
      </c>
    </row>
    <row r="101" spans="1:41" x14ac:dyDescent="0.3">
      <c r="A101" t="s">
        <v>197</v>
      </c>
      <c r="B101" t="s">
        <v>198</v>
      </c>
      <c r="C101" t="s">
        <v>199</v>
      </c>
      <c r="D101" t="s">
        <v>200</v>
      </c>
      <c r="E101" t="s">
        <v>201</v>
      </c>
      <c r="F101" t="s">
        <v>202</v>
      </c>
      <c r="G101" s="1">
        <v>32</v>
      </c>
      <c r="H101" t="s">
        <v>203</v>
      </c>
      <c r="I101" t="s">
        <v>29</v>
      </c>
      <c r="J101" t="s">
        <v>204</v>
      </c>
      <c r="K101" t="s">
        <v>21</v>
      </c>
      <c r="L101" t="s">
        <v>48</v>
      </c>
      <c r="M101" s="1">
        <v>1</v>
      </c>
      <c r="N101" s="4">
        <v>43679</v>
      </c>
      <c r="O101" s="2">
        <v>403.93</v>
      </c>
      <c r="P101" s="2">
        <v>973.07</v>
      </c>
      <c r="Q101" s="2">
        <v>8.08</v>
      </c>
      <c r="R101" s="2">
        <f t="shared" si="39"/>
        <v>1377</v>
      </c>
      <c r="S101" t="s">
        <v>31</v>
      </c>
      <c r="T101" t="s">
        <v>245</v>
      </c>
      <c r="U101" s="5">
        <f t="shared" ca="1" si="22"/>
        <v>2411</v>
      </c>
      <c r="V101" s="37">
        <f t="shared" ca="1" si="21"/>
        <v>97.306999999999988</v>
      </c>
      <c r="W101" s="38">
        <f t="shared" ca="1" si="23"/>
        <v>501.23699999999997</v>
      </c>
      <c r="X101" s="38">
        <f t="shared" ca="1" si="24"/>
        <v>466.15040999999997</v>
      </c>
      <c r="Y101" s="39">
        <f t="shared" ca="1" si="40"/>
        <v>225.55664999999999</v>
      </c>
      <c r="Z101" s="39">
        <f t="shared" ca="1" si="25"/>
        <v>275.68034999999998</v>
      </c>
      <c r="AA101" s="40" t="str">
        <f t="shared" ca="1" si="41"/>
        <v>R$ 68,92 x 4 Parcelas</v>
      </c>
      <c r="AC101" s="17">
        <f t="shared" si="27"/>
        <v>981.7700000000001</v>
      </c>
      <c r="AD101" s="17">
        <f t="shared" si="28"/>
        <v>1377</v>
      </c>
      <c r="AE101" s="17">
        <f t="shared" ca="1" si="29"/>
        <v>1170.45</v>
      </c>
      <c r="AF101" s="17">
        <f t="shared" ca="1" si="30"/>
        <v>963.9</v>
      </c>
      <c r="AG101" s="17">
        <f t="shared" ca="1" si="31"/>
        <v>413.1</v>
      </c>
      <c r="AH101" s="15" t="str">
        <f t="shared" ca="1" si="32"/>
        <v>R$ 103,28 x 4 Parcelas</v>
      </c>
      <c r="AJ101" s="41">
        <f t="shared" si="33"/>
        <v>981.7700000000001</v>
      </c>
      <c r="AK101" s="42">
        <f t="shared" si="34"/>
        <v>1377</v>
      </c>
      <c r="AL101" s="43">
        <f t="shared" ca="1" si="35"/>
        <v>1239.3</v>
      </c>
      <c r="AM101" s="43">
        <f t="shared" ca="1" si="36"/>
        <v>826.19999999999993</v>
      </c>
      <c r="AN101" s="43">
        <f t="shared" ca="1" si="37"/>
        <v>257.52999999999986</v>
      </c>
      <c r="AO101" s="44" t="str">
        <f t="shared" ca="1" si="38"/>
        <v>R$ 64,38 x 4 Parcelas</v>
      </c>
    </row>
    <row r="102" spans="1:41" x14ac:dyDescent="0.3">
      <c r="A102" t="s">
        <v>265</v>
      </c>
      <c r="B102" t="s">
        <v>267</v>
      </c>
      <c r="C102" t="s">
        <v>268</v>
      </c>
      <c r="D102" t="s">
        <v>21</v>
      </c>
      <c r="E102" t="s">
        <v>266</v>
      </c>
      <c r="F102" t="s">
        <v>269</v>
      </c>
      <c r="G102" s="1">
        <v>726</v>
      </c>
      <c r="H102" t="s">
        <v>270</v>
      </c>
      <c r="I102" t="s">
        <v>29</v>
      </c>
      <c r="J102" t="s">
        <v>271</v>
      </c>
      <c r="K102" t="s">
        <v>21</v>
      </c>
      <c r="L102" t="s">
        <v>48</v>
      </c>
      <c r="M102" s="1">
        <v>1</v>
      </c>
      <c r="N102" s="4">
        <v>43690</v>
      </c>
      <c r="O102" s="2">
        <v>136.83000000000001</v>
      </c>
      <c r="P102" s="2">
        <v>328.12</v>
      </c>
      <c r="Q102" s="2">
        <v>2.74</v>
      </c>
      <c r="R102" s="2">
        <f t="shared" si="39"/>
        <v>464.95000000000005</v>
      </c>
      <c r="S102" t="s">
        <v>31</v>
      </c>
      <c r="T102" t="s">
        <v>245</v>
      </c>
      <c r="U102" s="5">
        <f t="shared" ca="1" si="22"/>
        <v>2400</v>
      </c>
      <c r="V102" s="37">
        <f t="shared" ca="1" si="21"/>
        <v>32.811999999999991</v>
      </c>
      <c r="W102" s="38">
        <f t="shared" ca="1" si="23"/>
        <v>169.642</v>
      </c>
      <c r="X102" s="38">
        <f t="shared" ca="1" si="24"/>
        <v>157.76705999999999</v>
      </c>
      <c r="Y102" s="39">
        <f t="shared" ca="1" si="40"/>
        <v>76.338899999999995</v>
      </c>
      <c r="Z102" s="39">
        <f t="shared" ca="1" si="25"/>
        <v>93.303100000000001</v>
      </c>
      <c r="AA102" s="40" t="str">
        <f t="shared" ca="1" si="41"/>
        <v>R$ 23,33 x 4 Parcelas</v>
      </c>
      <c r="AC102" s="17">
        <f t="shared" si="27"/>
        <v>357.62</v>
      </c>
      <c r="AD102" s="17">
        <f t="shared" si="28"/>
        <v>464.95000000000005</v>
      </c>
      <c r="AE102" s="17">
        <f t="shared" ca="1" si="29"/>
        <v>395.20750000000004</v>
      </c>
      <c r="AF102" s="17">
        <f t="shared" ca="1" si="30"/>
        <v>325.46500000000003</v>
      </c>
      <c r="AG102" s="17">
        <f t="shared" ca="1" si="31"/>
        <v>139.48500000000001</v>
      </c>
      <c r="AH102" s="15" t="str">
        <f t="shared" ca="1" si="32"/>
        <v>R$ 34,87 x 4 Parcelas</v>
      </c>
      <c r="AJ102" s="41">
        <f t="shared" si="33"/>
        <v>357.62</v>
      </c>
      <c r="AK102" s="42">
        <f t="shared" si="34"/>
        <v>464.95000000000005</v>
      </c>
      <c r="AL102" s="43">
        <f t="shared" ca="1" si="35"/>
        <v>418.45500000000004</v>
      </c>
      <c r="AM102" s="43">
        <f t="shared" ca="1" si="36"/>
        <v>278.97000000000003</v>
      </c>
      <c r="AN102" s="43">
        <f t="shared" ca="1" si="37"/>
        <v>60.835000000000036</v>
      </c>
      <c r="AO102" s="44" t="str">
        <f t="shared" ca="1" si="38"/>
        <v>R$ 15,21 x 4 Parcelas</v>
      </c>
    </row>
    <row r="103" spans="1:41" x14ac:dyDescent="0.3">
      <c r="A103" t="s">
        <v>197</v>
      </c>
      <c r="B103" t="s">
        <v>198</v>
      </c>
      <c r="C103" t="s">
        <v>199</v>
      </c>
      <c r="D103" t="s">
        <v>200</v>
      </c>
      <c r="E103" t="s">
        <v>201</v>
      </c>
      <c r="F103" t="s">
        <v>202</v>
      </c>
      <c r="G103" s="1">
        <v>32</v>
      </c>
      <c r="H103" t="s">
        <v>203</v>
      </c>
      <c r="I103" t="s">
        <v>29</v>
      </c>
      <c r="J103" t="s">
        <v>204</v>
      </c>
      <c r="K103" t="s">
        <v>21</v>
      </c>
      <c r="L103" t="s">
        <v>48</v>
      </c>
      <c r="M103" s="1">
        <v>2</v>
      </c>
      <c r="N103" s="4">
        <v>43710</v>
      </c>
      <c r="O103" s="2">
        <v>403.94</v>
      </c>
      <c r="P103" s="2">
        <v>960.57</v>
      </c>
      <c r="Q103" s="2">
        <v>8.08</v>
      </c>
      <c r="R103" s="2">
        <f t="shared" si="39"/>
        <v>1364.51</v>
      </c>
      <c r="S103" t="s">
        <v>31</v>
      </c>
      <c r="T103" t="s">
        <v>245</v>
      </c>
      <c r="U103" s="5">
        <f t="shared" ca="1" si="22"/>
        <v>2380</v>
      </c>
      <c r="V103" s="37">
        <f t="shared" ca="1" si="21"/>
        <v>96.056999999999988</v>
      </c>
      <c r="W103" s="38">
        <f t="shared" ca="1" si="23"/>
        <v>499.99699999999996</v>
      </c>
      <c r="X103" s="38">
        <f t="shared" ca="1" si="24"/>
        <v>464.99720999999994</v>
      </c>
      <c r="Y103" s="39">
        <f t="shared" ca="1" si="40"/>
        <v>224.99865</v>
      </c>
      <c r="Z103" s="39">
        <f t="shared" ca="1" si="25"/>
        <v>274.99834999999996</v>
      </c>
      <c r="AA103" s="40" t="str">
        <f t="shared" ca="1" si="41"/>
        <v>R$ 68,75 x 4 Parcelas</v>
      </c>
      <c r="AC103" s="17">
        <f t="shared" si="27"/>
        <v>969.31000000000006</v>
      </c>
      <c r="AD103" s="17">
        <f t="shared" si="28"/>
        <v>1364.51</v>
      </c>
      <c r="AE103" s="17">
        <f t="shared" ca="1" si="29"/>
        <v>1159.8335</v>
      </c>
      <c r="AF103" s="17">
        <f t="shared" ca="1" si="30"/>
        <v>955.15699999999993</v>
      </c>
      <c r="AG103" s="17">
        <f t="shared" ca="1" si="31"/>
        <v>409.35300000000007</v>
      </c>
      <c r="AH103" s="15" t="str">
        <f t="shared" ca="1" si="32"/>
        <v>R$ 102,34 x 4 Parcelas</v>
      </c>
      <c r="AJ103" s="41">
        <f t="shared" si="33"/>
        <v>969.31000000000006</v>
      </c>
      <c r="AK103" s="42">
        <f t="shared" si="34"/>
        <v>1364.51</v>
      </c>
      <c r="AL103" s="43">
        <f t="shared" ca="1" si="35"/>
        <v>1228.059</v>
      </c>
      <c r="AM103" s="43">
        <f t="shared" ca="1" si="36"/>
        <v>818.70600000000002</v>
      </c>
      <c r="AN103" s="43">
        <f t="shared" ca="1" si="37"/>
        <v>258.74899999999991</v>
      </c>
      <c r="AO103" s="44" t="str">
        <f t="shared" ca="1" si="38"/>
        <v>R$ 64,69 x 4 Parcelas</v>
      </c>
    </row>
    <row r="104" spans="1:41" x14ac:dyDescent="0.3">
      <c r="A104" t="s">
        <v>197</v>
      </c>
      <c r="B104" t="s">
        <v>198</v>
      </c>
      <c r="C104" t="s">
        <v>199</v>
      </c>
      <c r="D104" t="s">
        <v>200</v>
      </c>
      <c r="E104" t="s">
        <v>201</v>
      </c>
      <c r="F104" t="s">
        <v>202</v>
      </c>
      <c r="G104" s="1">
        <v>32</v>
      </c>
      <c r="H104" t="s">
        <v>203</v>
      </c>
      <c r="I104" t="s">
        <v>29</v>
      </c>
      <c r="J104" t="s">
        <v>204</v>
      </c>
      <c r="K104" t="s">
        <v>21</v>
      </c>
      <c r="L104" t="s">
        <v>48</v>
      </c>
      <c r="M104" s="1">
        <v>3</v>
      </c>
      <c r="N104" s="4">
        <v>43740</v>
      </c>
      <c r="O104" s="2">
        <v>403.94</v>
      </c>
      <c r="P104" s="2">
        <v>948.45</v>
      </c>
      <c r="Q104" s="2">
        <v>8.08</v>
      </c>
      <c r="R104" s="2">
        <f t="shared" si="39"/>
        <v>1352.39</v>
      </c>
      <c r="S104" t="s">
        <v>31</v>
      </c>
      <c r="T104" t="s">
        <v>245</v>
      </c>
      <c r="U104" s="5">
        <f t="shared" ca="1" si="22"/>
        <v>2350</v>
      </c>
      <c r="V104" s="37">
        <f t="shared" ca="1" si="21"/>
        <v>94.844999999999985</v>
      </c>
      <c r="W104" s="38">
        <f t="shared" ca="1" si="23"/>
        <v>498.78499999999997</v>
      </c>
      <c r="X104" s="38">
        <f t="shared" ca="1" si="24"/>
        <v>463.87004999999994</v>
      </c>
      <c r="Y104" s="39">
        <f t="shared" ca="1" si="40"/>
        <v>224.45325</v>
      </c>
      <c r="Z104" s="39">
        <f t="shared" ca="1" si="25"/>
        <v>274.33174999999994</v>
      </c>
      <c r="AA104" s="40" t="str">
        <f t="shared" ca="1" si="41"/>
        <v>R$ 68,58 x 4 Parcelas</v>
      </c>
      <c r="AC104" s="17">
        <f t="shared" si="27"/>
        <v>959.47</v>
      </c>
      <c r="AD104" s="17">
        <f t="shared" si="28"/>
        <v>1352.39</v>
      </c>
      <c r="AE104" s="17">
        <f t="shared" ca="1" si="29"/>
        <v>1149.5315000000001</v>
      </c>
      <c r="AF104" s="17">
        <f t="shared" ca="1" si="30"/>
        <v>946.673</v>
      </c>
      <c r="AG104" s="17">
        <f t="shared" ca="1" si="31"/>
        <v>405.7170000000001</v>
      </c>
      <c r="AH104" s="15" t="str">
        <f t="shared" ca="1" si="32"/>
        <v>R$ 101,43 x 4 Parcelas</v>
      </c>
      <c r="AJ104" s="41">
        <f t="shared" si="33"/>
        <v>959.47</v>
      </c>
      <c r="AK104" s="42">
        <f t="shared" si="34"/>
        <v>1352.39</v>
      </c>
      <c r="AL104" s="43">
        <f t="shared" ca="1" si="35"/>
        <v>1217.1510000000001</v>
      </c>
      <c r="AM104" s="43">
        <f t="shared" ca="1" si="36"/>
        <v>811.43400000000008</v>
      </c>
      <c r="AN104" s="43">
        <f t="shared" ca="1" si="37"/>
        <v>257.68100000000004</v>
      </c>
      <c r="AO104" s="44" t="str">
        <f t="shared" ca="1" si="38"/>
        <v>R$ 64,42 x 4 Parcelas</v>
      </c>
    </row>
    <row r="105" spans="1:41" x14ac:dyDescent="0.3">
      <c r="A105" t="s">
        <v>272</v>
      </c>
      <c r="B105" t="s">
        <v>274</v>
      </c>
      <c r="C105" t="s">
        <v>275</v>
      </c>
      <c r="D105" t="s">
        <v>21</v>
      </c>
      <c r="E105" t="s">
        <v>273</v>
      </c>
      <c r="F105" t="s">
        <v>276</v>
      </c>
      <c r="G105" s="1">
        <v>1788</v>
      </c>
      <c r="H105" t="s">
        <v>210</v>
      </c>
      <c r="I105" t="s">
        <v>29</v>
      </c>
      <c r="J105" t="s">
        <v>277</v>
      </c>
      <c r="K105" t="s">
        <v>21</v>
      </c>
      <c r="L105" t="s">
        <v>48</v>
      </c>
      <c r="M105" s="1">
        <v>4</v>
      </c>
      <c r="N105" s="4">
        <v>43804</v>
      </c>
      <c r="O105" s="2">
        <v>526.53</v>
      </c>
      <c r="P105" s="2">
        <v>1202.5899999999999</v>
      </c>
      <c r="Q105" s="2">
        <v>10.53</v>
      </c>
      <c r="R105" s="2">
        <f t="shared" si="39"/>
        <v>1729.12</v>
      </c>
      <c r="S105" t="s">
        <v>31</v>
      </c>
      <c r="T105" t="s">
        <v>0</v>
      </c>
      <c r="U105" s="5">
        <f t="shared" ca="1" si="22"/>
        <v>2286</v>
      </c>
      <c r="V105" s="37">
        <f t="shared" ca="1" si="21"/>
        <v>120.25899999999997</v>
      </c>
      <c r="W105" s="38">
        <f t="shared" ca="1" si="23"/>
        <v>646.78899999999999</v>
      </c>
      <c r="X105" s="38">
        <f t="shared" ca="1" si="24"/>
        <v>601.51376999999991</v>
      </c>
      <c r="Y105" s="39">
        <f t="shared" ca="1" si="40"/>
        <v>291.05504999999999</v>
      </c>
      <c r="Z105" s="39">
        <f t="shared" ca="1" si="25"/>
        <v>355.73394999999999</v>
      </c>
      <c r="AA105" s="40" t="str">
        <f t="shared" ca="1" si="41"/>
        <v>R$ 88,93 x 4 Parcelas</v>
      </c>
      <c r="AC105" s="17">
        <f t="shared" si="27"/>
        <v>1212.9299999999998</v>
      </c>
      <c r="AD105" s="17">
        <f t="shared" si="28"/>
        <v>1729.12</v>
      </c>
      <c r="AE105" s="17">
        <f t="shared" ca="1" si="29"/>
        <v>1469.752</v>
      </c>
      <c r="AF105" s="17">
        <f t="shared" ca="1" si="30"/>
        <v>1210.3839999999998</v>
      </c>
      <c r="AG105" s="17">
        <f t="shared" ca="1" si="31"/>
        <v>518.7360000000001</v>
      </c>
      <c r="AH105" s="15" t="str">
        <f t="shared" ca="1" si="32"/>
        <v>R$ 129,68 x 4 Parcelas</v>
      </c>
      <c r="AJ105" s="41">
        <f t="shared" si="33"/>
        <v>1212.9299999999998</v>
      </c>
      <c r="AK105" s="42">
        <f t="shared" si="34"/>
        <v>1729.12</v>
      </c>
      <c r="AL105" s="43">
        <f t="shared" ca="1" si="35"/>
        <v>1556.2079999999999</v>
      </c>
      <c r="AM105" s="43">
        <f t="shared" ca="1" si="36"/>
        <v>1037.472</v>
      </c>
      <c r="AN105" s="43">
        <f t="shared" ca="1" si="37"/>
        <v>343.27800000000002</v>
      </c>
      <c r="AO105" s="44" t="str">
        <f t="shared" ca="1" si="38"/>
        <v>R$ 85,82 x 4 Parcelas</v>
      </c>
    </row>
    <row r="106" spans="1:41" x14ac:dyDescent="0.3">
      <c r="A106" t="s">
        <v>272</v>
      </c>
      <c r="B106" t="s">
        <v>274</v>
      </c>
      <c r="C106" t="s">
        <v>275</v>
      </c>
      <c r="D106" t="s">
        <v>21</v>
      </c>
      <c r="E106" t="s">
        <v>273</v>
      </c>
      <c r="F106" t="s">
        <v>276</v>
      </c>
      <c r="G106" s="1">
        <v>1788</v>
      </c>
      <c r="H106" t="s">
        <v>210</v>
      </c>
      <c r="I106" t="s">
        <v>29</v>
      </c>
      <c r="J106" t="s">
        <v>277</v>
      </c>
      <c r="K106" t="s">
        <v>21</v>
      </c>
      <c r="L106" t="s">
        <v>48</v>
      </c>
      <c r="M106" s="1">
        <v>5</v>
      </c>
      <c r="N106" s="4">
        <v>43835</v>
      </c>
      <c r="O106" s="2">
        <v>526.53</v>
      </c>
      <c r="P106" s="2">
        <v>1185.75</v>
      </c>
      <c r="Q106" s="2">
        <v>10.53</v>
      </c>
      <c r="R106" s="2">
        <f t="shared" si="39"/>
        <v>1712.28</v>
      </c>
      <c r="S106" t="s">
        <v>31</v>
      </c>
      <c r="T106" t="s">
        <v>0</v>
      </c>
      <c r="U106" s="5">
        <f t="shared" ca="1" si="22"/>
        <v>2255</v>
      </c>
      <c r="V106" s="37">
        <f t="shared" ca="1" si="21"/>
        <v>118.57499999999997</v>
      </c>
      <c r="W106" s="38">
        <f t="shared" ca="1" si="23"/>
        <v>645.1049999999999</v>
      </c>
      <c r="X106" s="38">
        <f t="shared" ca="1" si="24"/>
        <v>599.94764999999984</v>
      </c>
      <c r="Y106" s="39">
        <f t="shared" ca="1" si="40"/>
        <v>290.29724999999996</v>
      </c>
      <c r="Z106" s="39">
        <f t="shared" ca="1" si="25"/>
        <v>354.80774999999994</v>
      </c>
      <c r="AA106" s="40" t="str">
        <f t="shared" ca="1" si="41"/>
        <v>R$ 88,70 x 4 Parcelas</v>
      </c>
      <c r="AC106" s="17">
        <f t="shared" si="27"/>
        <v>1206.48</v>
      </c>
      <c r="AD106" s="17">
        <f t="shared" si="28"/>
        <v>1712.28</v>
      </c>
      <c r="AE106" s="17">
        <f t="shared" ca="1" si="29"/>
        <v>1455.4379999999999</v>
      </c>
      <c r="AF106" s="17">
        <f t="shared" ca="1" si="30"/>
        <v>1198.596</v>
      </c>
      <c r="AG106" s="17">
        <f t="shared" ca="1" si="31"/>
        <v>513.68399999999997</v>
      </c>
      <c r="AH106" s="15" t="str">
        <f t="shared" ca="1" si="32"/>
        <v>R$ 128,42 x 4 Parcelas</v>
      </c>
      <c r="AJ106" s="41">
        <f t="shared" si="33"/>
        <v>1206.48</v>
      </c>
      <c r="AK106" s="42">
        <f t="shared" si="34"/>
        <v>1712.28</v>
      </c>
      <c r="AL106" s="43">
        <f t="shared" ca="1" si="35"/>
        <v>1541.0519999999999</v>
      </c>
      <c r="AM106" s="43">
        <f t="shared" ca="1" si="36"/>
        <v>1027.3679999999999</v>
      </c>
      <c r="AN106" s="43">
        <f t="shared" ca="1" si="37"/>
        <v>334.57199999999989</v>
      </c>
      <c r="AO106" s="44" t="str">
        <f t="shared" ca="1" si="38"/>
        <v>R$ 83,64 x 4 Parcelas</v>
      </c>
    </row>
    <row r="107" spans="1:41" x14ac:dyDescent="0.3">
      <c r="A107" t="s">
        <v>279</v>
      </c>
      <c r="B107" t="s">
        <v>280</v>
      </c>
      <c r="C107" t="s">
        <v>281</v>
      </c>
      <c r="D107" t="s">
        <v>278</v>
      </c>
      <c r="E107" t="s">
        <v>282</v>
      </c>
      <c r="F107" t="s">
        <v>283</v>
      </c>
      <c r="G107" s="1">
        <v>3845</v>
      </c>
      <c r="H107" t="s">
        <v>210</v>
      </c>
      <c r="I107" t="s">
        <v>29</v>
      </c>
      <c r="J107" s="1">
        <v>79021002</v>
      </c>
      <c r="K107" t="s">
        <v>284</v>
      </c>
      <c r="L107" t="s">
        <v>48</v>
      </c>
      <c r="M107" s="1">
        <v>1</v>
      </c>
      <c r="N107" s="4">
        <v>44100</v>
      </c>
      <c r="O107" s="2">
        <v>1130.27</v>
      </c>
      <c r="P107" s="2">
        <v>2244.7199999999998</v>
      </c>
      <c r="Q107" s="2">
        <v>22.61</v>
      </c>
      <c r="R107" s="2">
        <f t="shared" si="39"/>
        <v>3374.99</v>
      </c>
      <c r="S107" t="s">
        <v>31</v>
      </c>
      <c r="T107" t="s">
        <v>0</v>
      </c>
      <c r="U107" s="5">
        <f t="shared" ca="1" si="22"/>
        <v>1990</v>
      </c>
      <c r="V107" s="37">
        <f t="shared" ca="1" si="21"/>
        <v>336.70800000000003</v>
      </c>
      <c r="W107" s="38">
        <f t="shared" ca="1" si="23"/>
        <v>1466.9780000000001</v>
      </c>
      <c r="X107" s="38">
        <f t="shared" ca="1" si="24"/>
        <v>1378.9593199999999</v>
      </c>
      <c r="Y107" s="39">
        <f t="shared" ca="1" si="40"/>
        <v>660.14010000000007</v>
      </c>
      <c r="Z107" s="39">
        <f t="shared" ca="1" si="25"/>
        <v>806.83789999999999</v>
      </c>
      <c r="AA107" s="40" t="str">
        <f t="shared" ca="1" si="41"/>
        <v>R$ 268,95 x 3 Parcelas</v>
      </c>
      <c r="AC107" s="17">
        <f t="shared" si="27"/>
        <v>2256.0099999999998</v>
      </c>
      <c r="AD107" s="17">
        <f t="shared" si="28"/>
        <v>3374.99</v>
      </c>
      <c r="AE107" s="17">
        <f t="shared" ca="1" si="29"/>
        <v>2868.7414999999996</v>
      </c>
      <c r="AF107" s="17">
        <f t="shared" ca="1" si="30"/>
        <v>2362.4929999999995</v>
      </c>
      <c r="AG107" s="17">
        <f t="shared" ca="1" si="31"/>
        <v>1012.4970000000003</v>
      </c>
      <c r="AH107" s="15" t="str">
        <f t="shared" ca="1" si="32"/>
        <v>R$ 253,12 x 4 Parcelas</v>
      </c>
      <c r="AJ107" s="41">
        <f t="shared" si="33"/>
        <v>2256.0099999999998</v>
      </c>
      <c r="AK107" s="42">
        <f t="shared" si="34"/>
        <v>3374.99</v>
      </c>
      <c r="AL107" s="43">
        <f t="shared" ca="1" si="35"/>
        <v>3037.491</v>
      </c>
      <c r="AM107" s="43">
        <f t="shared" ca="1" si="36"/>
        <v>2024.9939999999997</v>
      </c>
      <c r="AN107" s="43">
        <f t="shared" ca="1" si="37"/>
        <v>781.48100000000022</v>
      </c>
      <c r="AO107" s="44" t="str">
        <f t="shared" ca="1" si="38"/>
        <v>R$ 195,37 x 4 Parcelas</v>
      </c>
    </row>
    <row r="108" spans="1:41" x14ac:dyDescent="0.3">
      <c r="A108" t="s">
        <v>279</v>
      </c>
      <c r="B108" t="s">
        <v>280</v>
      </c>
      <c r="C108" t="s">
        <v>281</v>
      </c>
      <c r="D108" t="s">
        <v>278</v>
      </c>
      <c r="E108" t="s">
        <v>282</v>
      </c>
      <c r="F108" t="s">
        <v>283</v>
      </c>
      <c r="G108" s="1">
        <v>3845</v>
      </c>
      <c r="H108" t="s">
        <v>210</v>
      </c>
      <c r="I108" t="s">
        <v>29</v>
      </c>
      <c r="J108" s="1">
        <v>79021002</v>
      </c>
      <c r="K108" t="s">
        <v>284</v>
      </c>
      <c r="L108" t="s">
        <v>48</v>
      </c>
      <c r="M108" s="1">
        <v>1</v>
      </c>
      <c r="N108" s="4">
        <v>44100</v>
      </c>
      <c r="O108" s="2">
        <v>296</v>
      </c>
      <c r="P108" s="2">
        <v>587.86</v>
      </c>
      <c r="Q108" s="2">
        <v>5.92</v>
      </c>
      <c r="R108" s="2">
        <f t="shared" si="39"/>
        <v>883.86</v>
      </c>
      <c r="S108" t="s">
        <v>31</v>
      </c>
      <c r="T108" t="s">
        <v>245</v>
      </c>
      <c r="U108" s="5">
        <f t="shared" ca="1" si="22"/>
        <v>1990</v>
      </c>
      <c r="V108" s="37">
        <f t="shared" ca="1" si="21"/>
        <v>88.179000000000016</v>
      </c>
      <c r="W108" s="38">
        <f t="shared" ca="1" si="23"/>
        <v>384.17900000000003</v>
      </c>
      <c r="X108" s="38">
        <f t="shared" ca="1" si="24"/>
        <v>361.12826000000001</v>
      </c>
      <c r="Y108" s="39">
        <f t="shared" ca="1" si="40"/>
        <v>172.88055000000003</v>
      </c>
      <c r="Z108" s="39">
        <f t="shared" ca="1" si="25"/>
        <v>211.29845</v>
      </c>
      <c r="AA108" s="40" t="str">
        <f t="shared" ca="1" si="41"/>
        <v>R$ 70,43 x 3 Parcelas</v>
      </c>
      <c r="AC108" s="17">
        <f t="shared" si="27"/>
        <v>590.26</v>
      </c>
      <c r="AD108" s="17">
        <f t="shared" si="28"/>
        <v>883.86</v>
      </c>
      <c r="AE108" s="17">
        <f t="shared" ca="1" si="29"/>
        <v>751.28099999999995</v>
      </c>
      <c r="AF108" s="17">
        <f t="shared" ca="1" si="30"/>
        <v>618.702</v>
      </c>
      <c r="AG108" s="17">
        <f t="shared" ca="1" si="31"/>
        <v>265.15800000000002</v>
      </c>
      <c r="AH108" s="15" t="str">
        <f t="shared" ca="1" si="32"/>
        <v>R$ 66,29 x 4 Parcelas</v>
      </c>
      <c r="AJ108" s="41">
        <f t="shared" si="33"/>
        <v>590.26</v>
      </c>
      <c r="AK108" s="42">
        <f t="shared" si="34"/>
        <v>883.86</v>
      </c>
      <c r="AL108" s="43">
        <f t="shared" ca="1" si="35"/>
        <v>795.47400000000005</v>
      </c>
      <c r="AM108" s="43">
        <f t="shared" ca="1" si="36"/>
        <v>530.31600000000003</v>
      </c>
      <c r="AN108" s="43">
        <f t="shared" ca="1" si="37"/>
        <v>205.21400000000006</v>
      </c>
      <c r="AO108" s="44" t="str">
        <f t="shared" ca="1" si="38"/>
        <v>R$ 51,30 x 4 Parcelas</v>
      </c>
    </row>
    <row r="109" spans="1:41" x14ac:dyDescent="0.3">
      <c r="A109" t="s">
        <v>285</v>
      </c>
      <c r="B109" t="s">
        <v>288</v>
      </c>
      <c r="C109" t="s">
        <v>289</v>
      </c>
      <c r="D109" t="s">
        <v>286</v>
      </c>
      <c r="E109" t="s">
        <v>287</v>
      </c>
      <c r="F109" t="s">
        <v>250</v>
      </c>
      <c r="G109" s="1">
        <v>452</v>
      </c>
      <c r="H109" t="s">
        <v>290</v>
      </c>
      <c r="I109" t="s">
        <v>29</v>
      </c>
      <c r="J109" t="s">
        <v>291</v>
      </c>
      <c r="K109" t="s">
        <v>292</v>
      </c>
      <c r="L109" t="s">
        <v>48</v>
      </c>
      <c r="M109" s="1">
        <v>1</v>
      </c>
      <c r="N109" s="4">
        <v>44389</v>
      </c>
      <c r="O109" s="2">
        <v>1165</v>
      </c>
      <c r="P109" s="2">
        <v>1979.34</v>
      </c>
      <c r="Q109" s="2">
        <v>23.3</v>
      </c>
      <c r="R109" s="2">
        <f t="shared" si="39"/>
        <v>3144.34</v>
      </c>
      <c r="S109" t="s">
        <v>31</v>
      </c>
      <c r="T109" t="s">
        <v>245</v>
      </c>
      <c r="U109" s="5">
        <f t="shared" ca="1" si="22"/>
        <v>1701</v>
      </c>
      <c r="V109" s="37">
        <f t="shared" ca="1" si="21"/>
        <v>395.86799999999988</v>
      </c>
      <c r="W109" s="38">
        <f t="shared" ca="1" si="23"/>
        <v>1560.8679999999999</v>
      </c>
      <c r="X109" s="38">
        <f t="shared" ca="1" si="24"/>
        <v>1482.8245999999999</v>
      </c>
      <c r="Y109" s="39">
        <f t="shared" ca="1" si="40"/>
        <v>702.39059999999995</v>
      </c>
      <c r="Z109" s="39">
        <f t="shared" ca="1" si="25"/>
        <v>858.47739999999999</v>
      </c>
      <c r="AA109" s="40" t="str">
        <f t="shared" ca="1" si="41"/>
        <v>R$ 429,24 x 2 Parcelas</v>
      </c>
      <c r="AC109" s="17">
        <f t="shared" si="27"/>
        <v>1989.36</v>
      </c>
      <c r="AD109" s="17">
        <f t="shared" si="28"/>
        <v>3144.34</v>
      </c>
      <c r="AE109" s="17">
        <f t="shared" ca="1" si="29"/>
        <v>2672.6889999999999</v>
      </c>
      <c r="AF109" s="17">
        <f t="shared" ca="1" si="30"/>
        <v>2201.038</v>
      </c>
      <c r="AG109" s="17">
        <f t="shared" ca="1" si="31"/>
        <v>943.30200000000013</v>
      </c>
      <c r="AH109" s="15" t="str">
        <f t="shared" ca="1" si="32"/>
        <v>R$ 235,83 x 4 Parcelas</v>
      </c>
      <c r="AJ109" s="41">
        <f t="shared" si="33"/>
        <v>1989.36</v>
      </c>
      <c r="AK109" s="42">
        <f t="shared" si="34"/>
        <v>3144.34</v>
      </c>
      <c r="AL109" s="43">
        <f t="shared" ca="1" si="35"/>
        <v>2829.9060000000004</v>
      </c>
      <c r="AM109" s="43">
        <f t="shared" ca="1" si="36"/>
        <v>1886.604</v>
      </c>
      <c r="AN109" s="43">
        <f t="shared" ca="1" si="37"/>
        <v>840.5460000000005</v>
      </c>
      <c r="AO109" s="44" t="str">
        <f t="shared" ca="1" si="38"/>
        <v>R$ 210,14 x 4 Parcelas</v>
      </c>
    </row>
    <row r="110" spans="1:41" x14ac:dyDescent="0.3">
      <c r="A110" t="s">
        <v>293</v>
      </c>
      <c r="B110" t="s">
        <v>295</v>
      </c>
      <c r="C110" t="s">
        <v>296</v>
      </c>
      <c r="D110" t="s">
        <v>21</v>
      </c>
      <c r="E110" t="s">
        <v>294</v>
      </c>
      <c r="F110" t="s">
        <v>297</v>
      </c>
      <c r="G110" s="1">
        <v>433</v>
      </c>
      <c r="H110" t="s">
        <v>298</v>
      </c>
      <c r="I110" t="s">
        <v>29</v>
      </c>
      <c r="J110" t="s">
        <v>299</v>
      </c>
      <c r="K110" t="s">
        <v>21</v>
      </c>
      <c r="L110" t="s">
        <v>48</v>
      </c>
      <c r="M110" s="1">
        <v>7</v>
      </c>
      <c r="N110" s="4">
        <v>44484</v>
      </c>
      <c r="O110" s="2">
        <v>441.3</v>
      </c>
      <c r="P110" s="2">
        <v>707.85</v>
      </c>
      <c r="Q110" s="2">
        <v>8.83</v>
      </c>
      <c r="R110" s="2">
        <f t="shared" si="39"/>
        <v>1149.1500000000001</v>
      </c>
      <c r="S110" t="s">
        <v>31</v>
      </c>
      <c r="T110" t="s">
        <v>0</v>
      </c>
      <c r="U110" s="5">
        <f t="shared" ca="1" si="22"/>
        <v>1606</v>
      </c>
      <c r="V110" s="37">
        <f t="shared" ca="1" si="21"/>
        <v>141.56999999999996</v>
      </c>
      <c r="W110" s="38">
        <f t="shared" ca="1" si="23"/>
        <v>582.87</v>
      </c>
      <c r="X110" s="38">
        <f t="shared" ca="1" si="24"/>
        <v>553.72649999999999</v>
      </c>
      <c r="Y110" s="39">
        <f t="shared" ca="1" si="40"/>
        <v>262.29149999999998</v>
      </c>
      <c r="Z110" s="39">
        <f t="shared" ca="1" si="25"/>
        <v>320.57850000000002</v>
      </c>
      <c r="AA110" s="40" t="str">
        <f t="shared" ca="1" si="41"/>
        <v>R$ 160,29 x 2 Parcelas</v>
      </c>
      <c r="AC110" s="17">
        <f t="shared" si="27"/>
        <v>718.19</v>
      </c>
      <c r="AD110" s="17">
        <f t="shared" si="28"/>
        <v>1149.1500000000001</v>
      </c>
      <c r="AE110" s="17">
        <f t="shared" ca="1" si="29"/>
        <v>976.77750000000003</v>
      </c>
      <c r="AF110" s="17">
        <f t="shared" ca="1" si="30"/>
        <v>804.40499999999997</v>
      </c>
      <c r="AG110" s="17">
        <f t="shared" ca="1" si="31"/>
        <v>344.74500000000012</v>
      </c>
      <c r="AH110" s="15" t="str">
        <f t="shared" ca="1" si="32"/>
        <v>R$ 86,19 x 4 Parcelas</v>
      </c>
      <c r="AJ110" s="41">
        <f t="shared" si="33"/>
        <v>718.19</v>
      </c>
      <c r="AK110" s="42">
        <f t="shared" si="34"/>
        <v>1149.1500000000001</v>
      </c>
      <c r="AL110" s="43">
        <f t="shared" ca="1" si="35"/>
        <v>1034.2350000000001</v>
      </c>
      <c r="AM110" s="43">
        <f t="shared" ca="1" si="36"/>
        <v>689.49</v>
      </c>
      <c r="AN110" s="43">
        <f t="shared" ca="1" si="37"/>
        <v>316.04500000000007</v>
      </c>
      <c r="AO110" s="44" t="str">
        <f t="shared" ca="1" si="38"/>
        <v>R$ 79,01 x 4 Parcelas</v>
      </c>
    </row>
    <row r="111" spans="1:41" x14ac:dyDescent="0.3">
      <c r="A111" t="s">
        <v>300</v>
      </c>
      <c r="B111" t="s">
        <v>302</v>
      </c>
      <c r="C111" t="s">
        <v>303</v>
      </c>
      <c r="D111" t="s">
        <v>21</v>
      </c>
      <c r="E111" t="s">
        <v>301</v>
      </c>
      <c r="F111" t="s">
        <v>304</v>
      </c>
      <c r="G111" s="1">
        <v>259</v>
      </c>
      <c r="H111" t="s">
        <v>305</v>
      </c>
      <c r="I111" t="s">
        <v>29</v>
      </c>
      <c r="J111" t="s">
        <v>306</v>
      </c>
      <c r="K111" t="s">
        <v>21</v>
      </c>
      <c r="L111" t="s">
        <v>48</v>
      </c>
      <c r="M111" s="1">
        <v>1</v>
      </c>
      <c r="N111" s="4">
        <v>44506</v>
      </c>
      <c r="O111" s="2">
        <v>397.17</v>
      </c>
      <c r="P111" s="2">
        <v>627.53</v>
      </c>
      <c r="Q111" s="2">
        <v>7.94</v>
      </c>
      <c r="R111" s="2">
        <f t="shared" si="39"/>
        <v>1024.7</v>
      </c>
      <c r="S111" t="s">
        <v>31</v>
      </c>
      <c r="T111" t="s">
        <v>245</v>
      </c>
      <c r="U111" s="5">
        <f t="shared" ca="1" si="22"/>
        <v>1584</v>
      </c>
      <c r="V111" s="37">
        <f t="shared" ca="1" si="21"/>
        <v>125.50599999999997</v>
      </c>
      <c r="W111" s="38">
        <f t="shared" ca="1" si="23"/>
        <v>522.67599999999993</v>
      </c>
      <c r="X111" s="38">
        <f t="shared" ca="1" si="24"/>
        <v>496.54219999999992</v>
      </c>
      <c r="Y111" s="39">
        <f t="shared" ca="1" si="40"/>
        <v>235.20419999999999</v>
      </c>
      <c r="Z111" s="39">
        <f t="shared" ca="1" si="25"/>
        <v>287.47179999999992</v>
      </c>
      <c r="AA111" s="40" t="str">
        <f t="shared" ca="1" si="41"/>
        <v>R$ 143,74 x 2 Parcelas</v>
      </c>
      <c r="AC111" s="17">
        <f t="shared" si="27"/>
        <v>637.87</v>
      </c>
      <c r="AD111" s="17">
        <f t="shared" si="28"/>
        <v>1024.7</v>
      </c>
      <c r="AE111" s="17">
        <f t="shared" ca="1" si="29"/>
        <v>870.995</v>
      </c>
      <c r="AF111" s="17">
        <f t="shared" ca="1" si="30"/>
        <v>717.29</v>
      </c>
      <c r="AG111" s="17">
        <f t="shared" ca="1" si="31"/>
        <v>307.41000000000008</v>
      </c>
      <c r="AH111" s="15" t="str">
        <f t="shared" ca="1" si="32"/>
        <v>R$ 76,85 x 4 Parcelas</v>
      </c>
      <c r="AJ111" s="41">
        <f t="shared" si="33"/>
        <v>637.87</v>
      </c>
      <c r="AK111" s="42">
        <f t="shared" si="34"/>
        <v>1024.7</v>
      </c>
      <c r="AL111" s="43">
        <f t="shared" ca="1" si="35"/>
        <v>922.23</v>
      </c>
      <c r="AM111" s="43">
        <f t="shared" ca="1" si="36"/>
        <v>614.82000000000005</v>
      </c>
      <c r="AN111" s="43">
        <f t="shared" ca="1" si="37"/>
        <v>284.36</v>
      </c>
      <c r="AO111" s="44" t="str">
        <f t="shared" ca="1" si="38"/>
        <v>R$ 71,09 x 4 Parcelas</v>
      </c>
    </row>
    <row r="112" spans="1:41" x14ac:dyDescent="0.3">
      <c r="A112" t="s">
        <v>293</v>
      </c>
      <c r="B112" t="s">
        <v>295</v>
      </c>
      <c r="C112" t="s">
        <v>296</v>
      </c>
      <c r="D112" t="s">
        <v>21</v>
      </c>
      <c r="E112" t="s">
        <v>294</v>
      </c>
      <c r="F112" t="s">
        <v>297</v>
      </c>
      <c r="G112" s="1">
        <v>433</v>
      </c>
      <c r="H112" t="s">
        <v>298</v>
      </c>
      <c r="I112" t="s">
        <v>29</v>
      </c>
      <c r="J112" t="s">
        <v>299</v>
      </c>
      <c r="K112" t="s">
        <v>21</v>
      </c>
      <c r="L112" t="s">
        <v>48</v>
      </c>
      <c r="M112" s="1">
        <v>8</v>
      </c>
      <c r="N112" s="4">
        <v>44515</v>
      </c>
      <c r="O112" s="2">
        <v>441.3</v>
      </c>
      <c r="P112" s="2">
        <v>693.72</v>
      </c>
      <c r="Q112" s="2">
        <v>8.83</v>
      </c>
      <c r="R112" s="2">
        <f t="shared" si="39"/>
        <v>1135.02</v>
      </c>
      <c r="S112" t="s">
        <v>31</v>
      </c>
      <c r="T112" t="s">
        <v>0</v>
      </c>
      <c r="U112" s="5">
        <f t="shared" ca="1" si="22"/>
        <v>1575</v>
      </c>
      <c r="V112" s="37">
        <f t="shared" ca="1" si="21"/>
        <v>138.74399999999997</v>
      </c>
      <c r="W112" s="38">
        <f t="shared" ca="1" si="23"/>
        <v>580.04399999999998</v>
      </c>
      <c r="X112" s="38">
        <f t="shared" ca="1" si="24"/>
        <v>551.04179999999997</v>
      </c>
      <c r="Y112" s="39">
        <f t="shared" ca="1" si="40"/>
        <v>261.01979999999998</v>
      </c>
      <c r="Z112" s="39">
        <f t="shared" ca="1" si="25"/>
        <v>319.02420000000001</v>
      </c>
      <c r="AA112" s="40" t="str">
        <f t="shared" ca="1" si="41"/>
        <v>R$ 159,51 x 2 Parcelas</v>
      </c>
      <c r="AC112" s="17">
        <f t="shared" si="27"/>
        <v>698.89</v>
      </c>
      <c r="AD112" s="17">
        <f t="shared" si="28"/>
        <v>1135.02</v>
      </c>
      <c r="AE112" s="17">
        <f t="shared" ca="1" si="29"/>
        <v>964.76699999999994</v>
      </c>
      <c r="AF112" s="17">
        <f t="shared" ca="1" si="30"/>
        <v>794.5139999999999</v>
      </c>
      <c r="AG112" s="17">
        <f t="shared" ca="1" si="31"/>
        <v>340.50600000000009</v>
      </c>
      <c r="AH112" s="15" t="str">
        <f t="shared" ca="1" si="32"/>
        <v>R$ 85,13 x 4 Parcelas</v>
      </c>
      <c r="AJ112" s="41">
        <f t="shared" si="33"/>
        <v>698.89</v>
      </c>
      <c r="AK112" s="42">
        <f t="shared" si="34"/>
        <v>1135.02</v>
      </c>
      <c r="AL112" s="43">
        <f t="shared" ca="1" si="35"/>
        <v>1021.518</v>
      </c>
      <c r="AM112" s="43">
        <f t="shared" ca="1" si="36"/>
        <v>681.01199999999994</v>
      </c>
      <c r="AN112" s="43">
        <f t="shared" ca="1" si="37"/>
        <v>322.62800000000004</v>
      </c>
      <c r="AO112" s="44" t="str">
        <f t="shared" ca="1" si="38"/>
        <v>R$ 80,66 x 4 Parcelas</v>
      </c>
    </row>
    <row r="113" spans="1:41" x14ac:dyDescent="0.3">
      <c r="A113" t="s">
        <v>293</v>
      </c>
      <c r="B113" t="s">
        <v>295</v>
      </c>
      <c r="C113" t="s">
        <v>296</v>
      </c>
      <c r="D113" t="s">
        <v>21</v>
      </c>
      <c r="E113" t="s">
        <v>294</v>
      </c>
      <c r="F113" t="s">
        <v>297</v>
      </c>
      <c r="G113" s="1">
        <v>433</v>
      </c>
      <c r="H113" t="s">
        <v>298</v>
      </c>
      <c r="I113" t="s">
        <v>29</v>
      </c>
      <c r="J113" t="s">
        <v>299</v>
      </c>
      <c r="K113" t="s">
        <v>21</v>
      </c>
      <c r="L113" t="s">
        <v>48</v>
      </c>
      <c r="M113" s="1">
        <v>9</v>
      </c>
      <c r="N113" s="4">
        <v>44545</v>
      </c>
      <c r="O113" s="2">
        <v>441.3</v>
      </c>
      <c r="P113" s="2">
        <v>680.93</v>
      </c>
      <c r="Q113" s="2">
        <v>8.83</v>
      </c>
      <c r="R113" s="2">
        <f t="shared" si="39"/>
        <v>1122.23</v>
      </c>
      <c r="S113" t="s">
        <v>31</v>
      </c>
      <c r="T113" t="s">
        <v>0</v>
      </c>
      <c r="U113" s="5">
        <f t="shared" ca="1" si="22"/>
        <v>1545</v>
      </c>
      <c r="V113" s="37">
        <f t="shared" ca="1" si="21"/>
        <v>136.18599999999995</v>
      </c>
      <c r="W113" s="38">
        <f t="shared" ca="1" si="23"/>
        <v>577.48599999999999</v>
      </c>
      <c r="X113" s="38">
        <f t="shared" ca="1" si="24"/>
        <v>548.61169999999993</v>
      </c>
      <c r="Y113" s="39">
        <f t="shared" ca="1" si="40"/>
        <v>259.86869999999999</v>
      </c>
      <c r="Z113" s="39">
        <f t="shared" ca="1" si="25"/>
        <v>317.6173</v>
      </c>
      <c r="AA113" s="40" t="str">
        <f t="shared" ca="1" si="41"/>
        <v>R$ 158,81 x 2 Parcelas</v>
      </c>
      <c r="AC113" s="17">
        <f t="shared" si="27"/>
        <v>691.27</v>
      </c>
      <c r="AD113" s="17">
        <f t="shared" si="28"/>
        <v>1122.23</v>
      </c>
      <c r="AE113" s="17">
        <f t="shared" ca="1" si="29"/>
        <v>953.89549999999997</v>
      </c>
      <c r="AF113" s="17">
        <f t="shared" ca="1" si="30"/>
        <v>785.56099999999992</v>
      </c>
      <c r="AG113" s="17">
        <f t="shared" ca="1" si="31"/>
        <v>336.6690000000001</v>
      </c>
      <c r="AH113" s="15" t="str">
        <f t="shared" ca="1" si="32"/>
        <v>R$ 84,17 x 4 Parcelas</v>
      </c>
      <c r="AJ113" s="41">
        <f t="shared" si="33"/>
        <v>691.27</v>
      </c>
      <c r="AK113" s="42">
        <f t="shared" si="34"/>
        <v>1122.23</v>
      </c>
      <c r="AL113" s="43">
        <f t="shared" ca="1" si="35"/>
        <v>1010.0070000000001</v>
      </c>
      <c r="AM113" s="43">
        <f t="shared" ca="1" si="36"/>
        <v>673.33799999999997</v>
      </c>
      <c r="AN113" s="43">
        <f t="shared" ca="1" si="37"/>
        <v>318.73700000000008</v>
      </c>
      <c r="AO113" s="44" t="str">
        <f t="shared" ca="1" si="38"/>
        <v>R$ 79,68 x 4 Parcelas</v>
      </c>
    </row>
    <row r="114" spans="1:41" x14ac:dyDescent="0.3">
      <c r="A114" t="s">
        <v>293</v>
      </c>
      <c r="B114" t="s">
        <v>295</v>
      </c>
      <c r="C114" t="s">
        <v>296</v>
      </c>
      <c r="D114" t="s">
        <v>21</v>
      </c>
      <c r="E114" t="s">
        <v>294</v>
      </c>
      <c r="F114" t="s">
        <v>297</v>
      </c>
      <c r="G114" s="1">
        <v>433</v>
      </c>
      <c r="H114" t="s">
        <v>298</v>
      </c>
      <c r="I114" t="s">
        <v>29</v>
      </c>
      <c r="J114" t="s">
        <v>299</v>
      </c>
      <c r="K114" t="s">
        <v>21</v>
      </c>
      <c r="L114" t="s">
        <v>48</v>
      </c>
      <c r="M114" s="1">
        <v>10</v>
      </c>
      <c r="N114" s="4">
        <v>44576</v>
      </c>
      <c r="O114" s="2">
        <v>441.3</v>
      </c>
      <c r="P114" s="2">
        <v>666.36</v>
      </c>
      <c r="Q114" s="2">
        <v>8.83</v>
      </c>
      <c r="R114" s="2">
        <f t="shared" si="39"/>
        <v>1107.6600000000001</v>
      </c>
      <c r="S114" t="s">
        <v>31</v>
      </c>
      <c r="T114" t="s">
        <v>0</v>
      </c>
      <c r="U114" s="5">
        <f t="shared" ca="1" si="22"/>
        <v>1514</v>
      </c>
      <c r="V114" s="37">
        <f t="shared" ca="1" si="21"/>
        <v>133.27199999999996</v>
      </c>
      <c r="W114" s="38">
        <f t="shared" ca="1" si="23"/>
        <v>574.572</v>
      </c>
      <c r="X114" s="38">
        <f t="shared" ca="1" si="24"/>
        <v>545.84339999999997</v>
      </c>
      <c r="Y114" s="39">
        <f t="shared" ca="1" si="40"/>
        <v>258.55740000000003</v>
      </c>
      <c r="Z114" s="39">
        <f t="shared" ca="1" si="25"/>
        <v>316.01459999999997</v>
      </c>
      <c r="AA114" s="40" t="str">
        <f t="shared" ca="1" si="41"/>
        <v>R$ 158,01 x 2 Parcelas</v>
      </c>
      <c r="AC114" s="17">
        <f t="shared" si="27"/>
        <v>676.7</v>
      </c>
      <c r="AD114" s="17">
        <f t="shared" si="28"/>
        <v>1107.6600000000001</v>
      </c>
      <c r="AE114" s="17">
        <f t="shared" ca="1" si="29"/>
        <v>941.51100000000008</v>
      </c>
      <c r="AF114" s="17">
        <f t="shared" ca="1" si="30"/>
        <v>775.36199999999997</v>
      </c>
      <c r="AG114" s="17">
        <f t="shared" ca="1" si="31"/>
        <v>332.29800000000012</v>
      </c>
      <c r="AH114" s="15" t="str">
        <f t="shared" ca="1" si="32"/>
        <v>R$ 83,07 x 4 Parcelas</v>
      </c>
      <c r="AJ114" s="41">
        <f t="shared" si="33"/>
        <v>676.7</v>
      </c>
      <c r="AK114" s="42">
        <f t="shared" si="34"/>
        <v>1107.6600000000001</v>
      </c>
      <c r="AL114" s="43">
        <f t="shared" ca="1" si="35"/>
        <v>996.89400000000012</v>
      </c>
      <c r="AM114" s="43">
        <f t="shared" ca="1" si="36"/>
        <v>664.596</v>
      </c>
      <c r="AN114" s="43">
        <f t="shared" ca="1" si="37"/>
        <v>320.19400000000007</v>
      </c>
      <c r="AO114" s="44" t="str">
        <f t="shared" ca="1" si="38"/>
        <v>R$ 80,05 x 4 Parcelas</v>
      </c>
    </row>
    <row r="115" spans="1:41" x14ac:dyDescent="0.3">
      <c r="A115" t="s">
        <v>293</v>
      </c>
      <c r="B115" t="s">
        <v>295</v>
      </c>
      <c r="C115" t="s">
        <v>296</v>
      </c>
      <c r="D115" t="s">
        <v>21</v>
      </c>
      <c r="E115" t="s">
        <v>294</v>
      </c>
      <c r="F115" t="s">
        <v>297</v>
      </c>
      <c r="G115" s="1">
        <v>433</v>
      </c>
      <c r="H115" t="s">
        <v>298</v>
      </c>
      <c r="I115" t="s">
        <v>29</v>
      </c>
      <c r="J115" t="s">
        <v>299</v>
      </c>
      <c r="K115" t="s">
        <v>21</v>
      </c>
      <c r="L115" t="s">
        <v>48</v>
      </c>
      <c r="M115" s="1">
        <v>11</v>
      </c>
      <c r="N115" s="4">
        <v>44607</v>
      </c>
      <c r="O115" s="2">
        <v>441.3</v>
      </c>
      <c r="P115" s="2">
        <v>653.57000000000005</v>
      </c>
      <c r="Q115" s="2">
        <v>8.83</v>
      </c>
      <c r="R115" s="2">
        <f t="shared" si="39"/>
        <v>1094.8700000000001</v>
      </c>
      <c r="S115" t="s">
        <v>31</v>
      </c>
      <c r="T115" t="s">
        <v>0</v>
      </c>
      <c r="U115" s="5">
        <f t="shared" ca="1" si="22"/>
        <v>1483</v>
      </c>
      <c r="V115" s="37">
        <f t="shared" ca="1" si="21"/>
        <v>130.71399999999997</v>
      </c>
      <c r="W115" s="38">
        <f t="shared" ca="1" si="23"/>
        <v>572.01400000000001</v>
      </c>
      <c r="X115" s="38">
        <f t="shared" ca="1" si="24"/>
        <v>543.41329999999994</v>
      </c>
      <c r="Y115" s="39">
        <f t="shared" ca="1" si="40"/>
        <v>257.40629999999999</v>
      </c>
      <c r="Z115" s="39">
        <f t="shared" ca="1" si="25"/>
        <v>314.60770000000002</v>
      </c>
      <c r="AA115" s="40" t="str">
        <f t="shared" ca="1" si="41"/>
        <v>R$ 157,30 x 2 Parcelas</v>
      </c>
      <c r="AC115" s="17">
        <f t="shared" si="27"/>
        <v>663.91000000000008</v>
      </c>
      <c r="AD115" s="17">
        <f t="shared" si="28"/>
        <v>1094.8700000000001</v>
      </c>
      <c r="AE115" s="17">
        <f t="shared" ca="1" si="29"/>
        <v>930.63950000000011</v>
      </c>
      <c r="AF115" s="17">
        <f t="shared" ca="1" si="30"/>
        <v>766.40899999999999</v>
      </c>
      <c r="AG115" s="17">
        <f t="shared" ca="1" si="31"/>
        <v>328.46100000000013</v>
      </c>
      <c r="AH115" s="15" t="str">
        <f t="shared" ca="1" si="32"/>
        <v>R$ 82,12 x 4 Parcelas</v>
      </c>
      <c r="AJ115" s="41">
        <f t="shared" si="33"/>
        <v>663.91000000000008</v>
      </c>
      <c r="AK115" s="42">
        <f t="shared" si="34"/>
        <v>1094.8700000000001</v>
      </c>
      <c r="AL115" s="43">
        <f t="shared" ca="1" si="35"/>
        <v>985.38300000000015</v>
      </c>
      <c r="AM115" s="43">
        <f t="shared" ca="1" si="36"/>
        <v>656.92200000000003</v>
      </c>
      <c r="AN115" s="43">
        <f t="shared" ca="1" si="37"/>
        <v>321.47300000000007</v>
      </c>
      <c r="AO115" s="44" t="str">
        <f t="shared" ca="1" si="38"/>
        <v>R$ 80,37 x 4 Parcelas</v>
      </c>
    </row>
    <row r="116" spans="1:41" x14ac:dyDescent="0.3">
      <c r="A116" t="s">
        <v>293</v>
      </c>
      <c r="B116" t="s">
        <v>295</v>
      </c>
      <c r="C116" t="s">
        <v>296</v>
      </c>
      <c r="D116" t="s">
        <v>21</v>
      </c>
      <c r="E116" t="s">
        <v>294</v>
      </c>
      <c r="F116" t="s">
        <v>297</v>
      </c>
      <c r="G116" s="1">
        <v>433</v>
      </c>
      <c r="H116" t="s">
        <v>298</v>
      </c>
      <c r="I116" t="s">
        <v>29</v>
      </c>
      <c r="J116" t="s">
        <v>299</v>
      </c>
      <c r="K116" t="s">
        <v>21</v>
      </c>
      <c r="L116" t="s">
        <v>48</v>
      </c>
      <c r="M116" s="1">
        <v>12</v>
      </c>
      <c r="N116" s="4">
        <v>44635</v>
      </c>
      <c r="O116" s="2">
        <v>441.3</v>
      </c>
      <c r="P116" s="2">
        <v>641.21</v>
      </c>
      <c r="Q116" s="2">
        <v>8.83</v>
      </c>
      <c r="R116" s="2">
        <f t="shared" si="39"/>
        <v>1082.51</v>
      </c>
      <c r="S116" t="s">
        <v>31</v>
      </c>
      <c r="T116" t="s">
        <v>0</v>
      </c>
      <c r="U116" s="5">
        <v>1455</v>
      </c>
      <c r="V116" s="37">
        <f t="shared" si="21"/>
        <v>641.21</v>
      </c>
      <c r="W116" s="38">
        <f t="shared" si="23"/>
        <v>1082.51</v>
      </c>
      <c r="X116" s="38">
        <f t="shared" si="24"/>
        <v>1082.51</v>
      </c>
      <c r="Y116" s="39">
        <f t="shared" si="40"/>
        <v>0</v>
      </c>
      <c r="Z116" s="39">
        <f t="shared" si="25"/>
        <v>1082.51</v>
      </c>
      <c r="AA116" s="40" t="str">
        <f t="shared" si="41"/>
        <v>R$ 1.082,51 x 1 Parcelas</v>
      </c>
      <c r="AC116" s="17">
        <f t="shared" si="27"/>
        <v>652.24</v>
      </c>
      <c r="AD116" s="17">
        <f t="shared" si="28"/>
        <v>1082.51</v>
      </c>
      <c r="AE116" s="17">
        <f t="shared" si="29"/>
        <v>930.95859999999993</v>
      </c>
      <c r="AF116" s="17">
        <f t="shared" si="30"/>
        <v>757.75699999999995</v>
      </c>
      <c r="AG116" s="17">
        <f t="shared" si="31"/>
        <v>324.75300000000004</v>
      </c>
      <c r="AH116" s="15" t="str">
        <f t="shared" si="32"/>
        <v>R$ 81,19 x 4 Parcelas</v>
      </c>
      <c r="AJ116" s="41">
        <f t="shared" si="33"/>
        <v>652.24</v>
      </c>
      <c r="AK116" s="42">
        <f t="shared" si="34"/>
        <v>1082.51</v>
      </c>
      <c r="AL116" s="43">
        <f t="shared" si="35"/>
        <v>985.08410000000003</v>
      </c>
      <c r="AM116" s="43">
        <f t="shared" si="36"/>
        <v>649.50599999999997</v>
      </c>
      <c r="AN116" s="43">
        <f t="shared" si="37"/>
        <v>332.84410000000003</v>
      </c>
      <c r="AO116" s="44" t="str">
        <f t="shared" si="38"/>
        <v>R$ 83,21 x 4 Parcelas</v>
      </c>
    </row>
    <row r="117" spans="1:41" x14ac:dyDescent="0.3">
      <c r="A117" t="s">
        <v>300</v>
      </c>
      <c r="B117" t="s">
        <v>302</v>
      </c>
      <c r="C117" t="s">
        <v>303</v>
      </c>
      <c r="D117" t="s">
        <v>21</v>
      </c>
      <c r="E117" t="s">
        <v>301</v>
      </c>
      <c r="F117" t="s">
        <v>304</v>
      </c>
      <c r="G117" s="1">
        <v>259</v>
      </c>
      <c r="H117" t="s">
        <v>305</v>
      </c>
      <c r="I117" t="s">
        <v>29</v>
      </c>
      <c r="J117" t="s">
        <v>306</v>
      </c>
      <c r="K117" t="s">
        <v>21</v>
      </c>
      <c r="L117" t="s">
        <v>48</v>
      </c>
      <c r="M117" s="1">
        <v>1</v>
      </c>
      <c r="N117" s="4">
        <v>44644</v>
      </c>
      <c r="O117" s="2">
        <v>345.96</v>
      </c>
      <c r="P117" s="2">
        <v>499.57</v>
      </c>
      <c r="Q117" s="2">
        <v>6.92</v>
      </c>
      <c r="R117" s="2">
        <f t="shared" si="39"/>
        <v>845.53</v>
      </c>
      <c r="S117" t="s">
        <v>31</v>
      </c>
      <c r="T117" t="s">
        <v>0</v>
      </c>
      <c r="U117" s="5">
        <f t="shared" ca="1" si="22"/>
        <v>1446</v>
      </c>
      <c r="V117" s="37">
        <f t="shared" ca="1" si="21"/>
        <v>499.57</v>
      </c>
      <c r="W117" s="38">
        <f t="shared" ca="1" si="23"/>
        <v>845.53</v>
      </c>
      <c r="X117" s="38">
        <f t="shared" ca="1" si="24"/>
        <v>845.53</v>
      </c>
      <c r="Y117" s="39">
        <f t="shared" ca="1" si="40"/>
        <v>0</v>
      </c>
      <c r="Z117" s="39">
        <f t="shared" ca="1" si="25"/>
        <v>845.53</v>
      </c>
      <c r="AA117" s="40" t="str">
        <f t="shared" ca="1" si="41"/>
        <v>R$ 845,53 x 1 Parcelas</v>
      </c>
      <c r="AC117" s="17">
        <f t="shared" si="27"/>
        <v>509.90999999999997</v>
      </c>
      <c r="AD117" s="17">
        <f t="shared" si="28"/>
        <v>845.53</v>
      </c>
      <c r="AE117" s="17">
        <f t="shared" ca="1" si="29"/>
        <v>727.1558</v>
      </c>
      <c r="AF117" s="17">
        <f t="shared" ca="1" si="30"/>
        <v>591.87099999999998</v>
      </c>
      <c r="AG117" s="17">
        <f t="shared" ca="1" si="31"/>
        <v>253.65899999999999</v>
      </c>
      <c r="AH117" s="15" t="str">
        <f t="shared" ca="1" si="32"/>
        <v>R$ 63,41 x 4 Parcelas</v>
      </c>
      <c r="AJ117" s="41">
        <f t="shared" si="33"/>
        <v>509.90999999999997</v>
      </c>
      <c r="AK117" s="42">
        <f t="shared" si="34"/>
        <v>845.53</v>
      </c>
      <c r="AL117" s="43">
        <f t="shared" ca="1" si="35"/>
        <v>769.43230000000005</v>
      </c>
      <c r="AM117" s="43">
        <f t="shared" ca="1" si="36"/>
        <v>507.31799999999998</v>
      </c>
      <c r="AN117" s="43">
        <f t="shared" ca="1" si="37"/>
        <v>259.52230000000009</v>
      </c>
      <c r="AO117" s="44" t="str">
        <f t="shared" ca="1" si="38"/>
        <v>R$ 64,88 x 4 Parcelas</v>
      </c>
    </row>
    <row r="118" spans="1:41" x14ac:dyDescent="0.3">
      <c r="A118" t="s">
        <v>300</v>
      </c>
      <c r="B118" t="s">
        <v>302</v>
      </c>
      <c r="C118" t="s">
        <v>303</v>
      </c>
      <c r="D118" t="s">
        <v>21</v>
      </c>
      <c r="E118" t="s">
        <v>301</v>
      </c>
      <c r="F118" t="s">
        <v>304</v>
      </c>
      <c r="G118" s="1">
        <v>259</v>
      </c>
      <c r="H118" t="s">
        <v>305</v>
      </c>
      <c r="I118" t="s">
        <v>29</v>
      </c>
      <c r="J118" t="s">
        <v>306</v>
      </c>
      <c r="K118" t="s">
        <v>21</v>
      </c>
      <c r="L118" t="s">
        <v>48</v>
      </c>
      <c r="M118" s="1">
        <v>1</v>
      </c>
      <c r="N118" s="4">
        <v>44644</v>
      </c>
      <c r="O118" s="2">
        <v>384</v>
      </c>
      <c r="P118" s="2">
        <v>554.5</v>
      </c>
      <c r="Q118" s="2">
        <v>7.68</v>
      </c>
      <c r="R118" s="2">
        <f t="shared" si="39"/>
        <v>938.5</v>
      </c>
      <c r="S118" t="s">
        <v>31</v>
      </c>
      <c r="T118" t="s">
        <v>32</v>
      </c>
      <c r="U118" s="5">
        <f t="shared" ca="1" si="22"/>
        <v>1446</v>
      </c>
      <c r="V118" s="37">
        <f t="shared" ca="1" si="21"/>
        <v>554.5</v>
      </c>
      <c r="W118" s="38">
        <f t="shared" ca="1" si="23"/>
        <v>938.5</v>
      </c>
      <c r="X118" s="38">
        <f t="shared" ca="1" si="24"/>
        <v>938.5</v>
      </c>
      <c r="Y118" s="39">
        <f t="shared" ca="1" si="40"/>
        <v>0</v>
      </c>
      <c r="Z118" s="39">
        <f t="shared" ca="1" si="25"/>
        <v>938.5</v>
      </c>
      <c r="AA118" s="40" t="str">
        <f t="shared" ca="1" si="41"/>
        <v>R$ 938,50 x 1 Parcelas</v>
      </c>
      <c r="AC118" s="17">
        <f t="shared" si="27"/>
        <v>565.53</v>
      </c>
      <c r="AD118" s="17">
        <f t="shared" si="28"/>
        <v>938.5</v>
      </c>
      <c r="AE118" s="17">
        <f t="shared" ca="1" si="29"/>
        <v>807.11</v>
      </c>
      <c r="AF118" s="17">
        <f t="shared" ca="1" si="30"/>
        <v>656.94999999999993</v>
      </c>
      <c r="AG118" s="17">
        <f t="shared" ca="1" si="31"/>
        <v>281.55000000000007</v>
      </c>
      <c r="AH118" s="15" t="str">
        <f t="shared" ca="1" si="32"/>
        <v>R$ 70,39 x 4 Parcelas</v>
      </c>
      <c r="AJ118" s="41">
        <f t="shared" si="33"/>
        <v>565.53</v>
      </c>
      <c r="AK118" s="42">
        <f t="shared" si="34"/>
        <v>938.5</v>
      </c>
      <c r="AL118" s="43">
        <f t="shared" ca="1" si="35"/>
        <v>854.03500000000008</v>
      </c>
      <c r="AM118" s="43">
        <f t="shared" ca="1" si="36"/>
        <v>563.1</v>
      </c>
      <c r="AN118" s="43">
        <f t="shared" ca="1" si="37"/>
        <v>288.50500000000011</v>
      </c>
      <c r="AO118" s="44" t="str">
        <f t="shared" ca="1" si="38"/>
        <v>R$ 72,13 x 4 Parcelas</v>
      </c>
    </row>
    <row r="119" spans="1:41" x14ac:dyDescent="0.3">
      <c r="A119" t="s">
        <v>300</v>
      </c>
      <c r="B119" t="s">
        <v>302</v>
      </c>
      <c r="C119" t="s">
        <v>303</v>
      </c>
      <c r="D119" t="s">
        <v>21</v>
      </c>
      <c r="E119" t="s">
        <v>301</v>
      </c>
      <c r="F119" t="s">
        <v>304</v>
      </c>
      <c r="G119" s="1">
        <v>259</v>
      </c>
      <c r="H119" t="s">
        <v>305</v>
      </c>
      <c r="I119" t="s">
        <v>29</v>
      </c>
      <c r="J119" t="s">
        <v>306</v>
      </c>
      <c r="K119" t="s">
        <v>21</v>
      </c>
      <c r="L119" t="s">
        <v>48</v>
      </c>
      <c r="M119" s="1">
        <v>1</v>
      </c>
      <c r="N119" s="4">
        <v>44644</v>
      </c>
      <c r="O119" s="2">
        <v>266.11</v>
      </c>
      <c r="P119" s="2">
        <v>384.26</v>
      </c>
      <c r="Q119" s="2">
        <v>5.32</v>
      </c>
      <c r="R119" s="2">
        <f t="shared" si="39"/>
        <v>650.37</v>
      </c>
      <c r="S119" t="s">
        <v>31</v>
      </c>
      <c r="T119" t="s">
        <v>245</v>
      </c>
      <c r="U119" s="5">
        <f t="shared" ca="1" si="22"/>
        <v>1446</v>
      </c>
      <c r="V119" s="37">
        <f t="shared" ca="1" si="21"/>
        <v>384.26</v>
      </c>
      <c r="W119" s="38">
        <f t="shared" ca="1" si="23"/>
        <v>650.37</v>
      </c>
      <c r="X119" s="38">
        <f t="shared" ca="1" si="24"/>
        <v>650.37</v>
      </c>
      <c r="Y119" s="39">
        <f t="shared" ca="1" si="40"/>
        <v>0</v>
      </c>
      <c r="Z119" s="39">
        <f t="shared" ca="1" si="25"/>
        <v>650.37</v>
      </c>
      <c r="AA119" s="40" t="str">
        <f t="shared" ca="1" si="41"/>
        <v>R$ 650,37 x 1 Parcelas</v>
      </c>
      <c r="AC119" s="17">
        <f t="shared" si="27"/>
        <v>395.28999999999996</v>
      </c>
      <c r="AD119" s="17">
        <f t="shared" si="28"/>
        <v>650.37</v>
      </c>
      <c r="AE119" s="17">
        <f t="shared" ca="1" si="29"/>
        <v>559.31820000000005</v>
      </c>
      <c r="AF119" s="17">
        <f t="shared" ca="1" si="30"/>
        <v>455.25899999999996</v>
      </c>
      <c r="AG119" s="17">
        <f t="shared" ca="1" si="31"/>
        <v>195.11100000000005</v>
      </c>
      <c r="AH119" s="15" t="str">
        <f t="shared" ca="1" si="32"/>
        <v>R$ 48,78 x 4 Parcelas</v>
      </c>
      <c r="AJ119" s="41">
        <f t="shared" si="33"/>
        <v>395.28999999999996</v>
      </c>
      <c r="AK119" s="42">
        <f t="shared" si="34"/>
        <v>650.37</v>
      </c>
      <c r="AL119" s="43">
        <f t="shared" ca="1" si="35"/>
        <v>591.83670000000006</v>
      </c>
      <c r="AM119" s="43">
        <f t="shared" ca="1" si="36"/>
        <v>390.22199999999998</v>
      </c>
      <c r="AN119" s="43">
        <f t="shared" ca="1" si="37"/>
        <v>196.5467000000001</v>
      </c>
      <c r="AO119" s="44" t="str">
        <f t="shared" ca="1" si="38"/>
        <v>R$ 49,14 x 4 Parcelas</v>
      </c>
    </row>
    <row r="120" spans="1:41" x14ac:dyDescent="0.3">
      <c r="A120" t="s">
        <v>307</v>
      </c>
      <c r="B120" t="s">
        <v>308</v>
      </c>
      <c r="C120" t="s">
        <v>309</v>
      </c>
      <c r="D120" t="s">
        <v>21</v>
      </c>
      <c r="E120" t="s">
        <v>310</v>
      </c>
      <c r="F120" t="s">
        <v>311</v>
      </c>
      <c r="G120" s="1">
        <v>100</v>
      </c>
      <c r="H120" t="s">
        <v>312</v>
      </c>
      <c r="I120" t="s">
        <v>29</v>
      </c>
      <c r="J120" t="s">
        <v>313</v>
      </c>
      <c r="K120" t="s">
        <v>21</v>
      </c>
      <c r="L120" t="s">
        <v>48</v>
      </c>
      <c r="M120" s="1">
        <v>5</v>
      </c>
      <c r="N120" s="4">
        <v>44768</v>
      </c>
      <c r="O120" s="2">
        <v>10</v>
      </c>
      <c r="P120" s="2">
        <v>13.2</v>
      </c>
      <c r="Q120" s="2">
        <v>0.2</v>
      </c>
      <c r="R120" s="2">
        <f t="shared" si="39"/>
        <v>23.2</v>
      </c>
      <c r="S120" t="s">
        <v>31</v>
      </c>
      <c r="T120" t="s">
        <v>245</v>
      </c>
      <c r="U120" s="5">
        <f t="shared" ca="1" si="22"/>
        <v>1322</v>
      </c>
      <c r="V120" s="37">
        <f t="shared" ca="1" si="21"/>
        <v>13.2</v>
      </c>
      <c r="W120" s="38">
        <f t="shared" ca="1" si="23"/>
        <v>23.2</v>
      </c>
      <c r="X120" s="38">
        <f t="shared" ca="1" si="24"/>
        <v>23.2</v>
      </c>
      <c r="Y120" s="39">
        <f t="shared" ca="1" si="40"/>
        <v>0</v>
      </c>
      <c r="Z120" s="39">
        <f t="shared" ca="1" si="25"/>
        <v>23.2</v>
      </c>
      <c r="AA120" s="40" t="str">
        <f t="shared" ca="1" si="41"/>
        <v>R$ 23,20 x 1 Parcelas</v>
      </c>
      <c r="AC120" s="17">
        <f t="shared" si="27"/>
        <v>23.88</v>
      </c>
      <c r="AD120" s="17">
        <f t="shared" si="28"/>
        <v>23.2</v>
      </c>
      <c r="AE120" s="17">
        <f t="shared" ca="1" si="29"/>
        <v>19.951999999999998</v>
      </c>
      <c r="AF120" s="17">
        <f t="shared" ca="1" si="30"/>
        <v>16.239999999999998</v>
      </c>
      <c r="AG120" s="17">
        <f t="shared" ca="1" si="31"/>
        <v>6.9600000000000009</v>
      </c>
      <c r="AH120" s="15" t="str">
        <f t="shared" ca="1" si="32"/>
        <v>R$ 1,74 x 4 Parcelas</v>
      </c>
      <c r="AJ120" s="41">
        <f t="shared" si="33"/>
        <v>23.88</v>
      </c>
      <c r="AK120" s="42">
        <f t="shared" si="34"/>
        <v>23.2</v>
      </c>
      <c r="AL120" s="43">
        <f t="shared" ca="1" si="35"/>
        <v>21.111999999999998</v>
      </c>
      <c r="AM120" s="43">
        <f t="shared" ca="1" si="36"/>
        <v>13.92</v>
      </c>
      <c r="AN120" s="43">
        <f t="shared" ca="1" si="37"/>
        <v>-2.7680000000000007</v>
      </c>
      <c r="AO120" s="44" t="str">
        <f t="shared" ca="1" si="38"/>
        <v>-R$ 0,69 x 4 Parcelas</v>
      </c>
    </row>
    <row r="121" spans="1:41" x14ac:dyDescent="0.3">
      <c r="A121" t="s">
        <v>314</v>
      </c>
      <c r="B121" t="s">
        <v>316</v>
      </c>
      <c r="C121" t="s">
        <v>317</v>
      </c>
      <c r="D121" t="s">
        <v>21</v>
      </c>
      <c r="E121" t="s">
        <v>315</v>
      </c>
      <c r="F121" t="s">
        <v>318</v>
      </c>
      <c r="G121" s="1">
        <v>1535</v>
      </c>
      <c r="H121" t="s">
        <v>319</v>
      </c>
      <c r="I121" t="s">
        <v>29</v>
      </c>
      <c r="J121" t="s">
        <v>320</v>
      </c>
      <c r="K121" t="s">
        <v>21</v>
      </c>
      <c r="L121" t="s">
        <v>48</v>
      </c>
      <c r="M121" s="1">
        <v>1</v>
      </c>
      <c r="N121" s="4">
        <v>44793</v>
      </c>
      <c r="O121" s="2">
        <v>354.78</v>
      </c>
      <c r="P121" s="2">
        <v>458.73</v>
      </c>
      <c r="Q121" s="2">
        <v>7.1</v>
      </c>
      <c r="R121" s="2">
        <f t="shared" si="39"/>
        <v>813.51</v>
      </c>
      <c r="S121" t="s">
        <v>31</v>
      </c>
      <c r="T121" t="s">
        <v>245</v>
      </c>
      <c r="U121" s="5">
        <f t="shared" ca="1" si="22"/>
        <v>1297</v>
      </c>
      <c r="V121" s="37">
        <f t="shared" ca="1" si="21"/>
        <v>458.73</v>
      </c>
      <c r="W121" s="38">
        <f t="shared" ca="1" si="23"/>
        <v>813.51</v>
      </c>
      <c r="X121" s="38">
        <f t="shared" ca="1" si="24"/>
        <v>813.51</v>
      </c>
      <c r="Y121" s="39">
        <f t="shared" ca="1" si="40"/>
        <v>0</v>
      </c>
      <c r="Z121" s="39">
        <f t="shared" ca="1" si="25"/>
        <v>813.51</v>
      </c>
      <c r="AA121" s="40" t="str">
        <f t="shared" ca="1" si="41"/>
        <v>R$ 813,51 x 1 Parcelas</v>
      </c>
      <c r="AC121" s="17">
        <f t="shared" si="27"/>
        <v>469.76</v>
      </c>
      <c r="AD121" s="17">
        <f t="shared" si="28"/>
        <v>813.51</v>
      </c>
      <c r="AE121" s="17">
        <f t="shared" ca="1" si="29"/>
        <v>699.61860000000001</v>
      </c>
      <c r="AF121" s="17">
        <f t="shared" ca="1" si="30"/>
        <v>569.45699999999999</v>
      </c>
      <c r="AG121" s="17">
        <f t="shared" ca="1" si="31"/>
        <v>244.053</v>
      </c>
      <c r="AH121" s="15" t="str">
        <f t="shared" ca="1" si="32"/>
        <v>R$ 61,01 x 4 Parcelas</v>
      </c>
      <c r="AJ121" s="41">
        <f t="shared" si="33"/>
        <v>469.76</v>
      </c>
      <c r="AK121" s="42">
        <f t="shared" si="34"/>
        <v>813.51</v>
      </c>
      <c r="AL121" s="43">
        <f t="shared" ca="1" si="35"/>
        <v>740.29410000000007</v>
      </c>
      <c r="AM121" s="43">
        <f t="shared" ca="1" si="36"/>
        <v>488.10599999999999</v>
      </c>
      <c r="AN121" s="43">
        <f t="shared" ca="1" si="37"/>
        <v>270.53410000000008</v>
      </c>
      <c r="AO121" s="44" t="str">
        <f t="shared" ca="1" si="38"/>
        <v>R$ 67,63 x 4 Parcelas</v>
      </c>
    </row>
    <row r="122" spans="1:41" x14ac:dyDescent="0.3">
      <c r="A122" t="s">
        <v>314</v>
      </c>
      <c r="B122" t="s">
        <v>316</v>
      </c>
      <c r="C122" t="s">
        <v>317</v>
      </c>
      <c r="D122" t="s">
        <v>21</v>
      </c>
      <c r="E122" t="s">
        <v>315</v>
      </c>
      <c r="F122" t="s">
        <v>318</v>
      </c>
      <c r="G122" s="1">
        <v>1535</v>
      </c>
      <c r="H122" t="s">
        <v>319</v>
      </c>
      <c r="I122" t="s">
        <v>29</v>
      </c>
      <c r="J122" t="s">
        <v>320</v>
      </c>
      <c r="K122" t="s">
        <v>21</v>
      </c>
      <c r="L122" t="s">
        <v>48</v>
      </c>
      <c r="M122" s="1">
        <v>1</v>
      </c>
      <c r="N122" s="4">
        <v>44793</v>
      </c>
      <c r="O122" s="2">
        <v>435</v>
      </c>
      <c r="P122" s="2">
        <v>562.46</v>
      </c>
      <c r="Q122" s="2">
        <v>8.6999999999999993</v>
      </c>
      <c r="R122" s="2">
        <f t="shared" si="39"/>
        <v>997.46</v>
      </c>
      <c r="S122" t="s">
        <v>31</v>
      </c>
      <c r="T122" t="s">
        <v>32</v>
      </c>
      <c r="U122" s="5">
        <f t="shared" ca="1" si="22"/>
        <v>1297</v>
      </c>
      <c r="V122" s="37">
        <f t="shared" ca="1" si="21"/>
        <v>562.46</v>
      </c>
      <c r="W122" s="38">
        <f t="shared" ca="1" si="23"/>
        <v>997.46</v>
      </c>
      <c r="X122" s="38">
        <f t="shared" ca="1" si="24"/>
        <v>997.46</v>
      </c>
      <c r="Y122" s="39">
        <f t="shared" ca="1" si="40"/>
        <v>0</v>
      </c>
      <c r="Z122" s="39">
        <f t="shared" ca="1" si="25"/>
        <v>997.46</v>
      </c>
      <c r="AA122" s="40" t="str">
        <f t="shared" ca="1" si="41"/>
        <v>R$ 997,46 x 1 Parcelas</v>
      </c>
      <c r="AC122" s="17">
        <f t="shared" si="27"/>
        <v>573.49</v>
      </c>
      <c r="AD122" s="17">
        <f t="shared" si="28"/>
        <v>997.46</v>
      </c>
      <c r="AE122" s="17">
        <f t="shared" ca="1" si="29"/>
        <v>857.81560000000002</v>
      </c>
      <c r="AF122" s="17">
        <f t="shared" ca="1" si="30"/>
        <v>698.22199999999998</v>
      </c>
      <c r="AG122" s="17">
        <f t="shared" ca="1" si="31"/>
        <v>299.23800000000006</v>
      </c>
      <c r="AH122" s="15" t="str">
        <f t="shared" ca="1" si="32"/>
        <v>R$ 74,81 x 4 Parcelas</v>
      </c>
      <c r="AJ122" s="41">
        <f t="shared" si="33"/>
        <v>573.49</v>
      </c>
      <c r="AK122" s="42">
        <f t="shared" si="34"/>
        <v>997.46</v>
      </c>
      <c r="AL122" s="43">
        <f t="shared" ca="1" si="35"/>
        <v>907.68860000000006</v>
      </c>
      <c r="AM122" s="43">
        <f t="shared" ca="1" si="36"/>
        <v>598.476</v>
      </c>
      <c r="AN122" s="43">
        <f t="shared" ca="1" si="37"/>
        <v>334.19860000000006</v>
      </c>
      <c r="AO122" s="44" t="str">
        <f t="shared" ca="1" si="38"/>
        <v>R$ 83,55 x 4 Parcelas</v>
      </c>
    </row>
    <row r="123" spans="1:41" x14ac:dyDescent="0.3">
      <c r="A123" t="s">
        <v>314</v>
      </c>
      <c r="B123" t="s">
        <v>316</v>
      </c>
      <c r="C123" t="s">
        <v>317</v>
      </c>
      <c r="D123" t="s">
        <v>21</v>
      </c>
      <c r="E123" t="s">
        <v>315</v>
      </c>
      <c r="F123" t="s">
        <v>318</v>
      </c>
      <c r="G123" s="1">
        <v>1535</v>
      </c>
      <c r="H123" t="s">
        <v>319</v>
      </c>
      <c r="I123" t="s">
        <v>29</v>
      </c>
      <c r="J123" t="s">
        <v>320</v>
      </c>
      <c r="K123" t="s">
        <v>21</v>
      </c>
      <c r="L123" t="s">
        <v>48</v>
      </c>
      <c r="M123" s="1">
        <v>1</v>
      </c>
      <c r="N123" s="4">
        <v>44793</v>
      </c>
      <c r="O123" s="2">
        <v>1475.15</v>
      </c>
      <c r="P123" s="2">
        <v>1907.37</v>
      </c>
      <c r="Q123" s="2">
        <v>29.5</v>
      </c>
      <c r="R123" s="2">
        <f t="shared" si="39"/>
        <v>3382.52</v>
      </c>
      <c r="S123" t="s">
        <v>31</v>
      </c>
      <c r="T123" t="s">
        <v>0</v>
      </c>
      <c r="U123" s="5">
        <f t="shared" ca="1" si="22"/>
        <v>1297</v>
      </c>
      <c r="V123" s="37">
        <f t="shared" ca="1" si="21"/>
        <v>1907.37</v>
      </c>
      <c r="W123" s="38">
        <f t="shared" ca="1" si="23"/>
        <v>3382.52</v>
      </c>
      <c r="X123" s="38">
        <f t="shared" ca="1" si="24"/>
        <v>3382.52</v>
      </c>
      <c r="Y123" s="39">
        <f t="shared" ca="1" si="40"/>
        <v>0</v>
      </c>
      <c r="Z123" s="39">
        <f t="shared" ca="1" si="25"/>
        <v>3382.52</v>
      </c>
      <c r="AA123" s="40" t="str">
        <f t="shared" ca="1" si="41"/>
        <v>R$ 3.382,52 x 1 Parcelas</v>
      </c>
      <c r="AC123" s="17">
        <f t="shared" si="27"/>
        <v>1918.7399999999998</v>
      </c>
      <c r="AD123" s="17">
        <f t="shared" si="28"/>
        <v>3382.52</v>
      </c>
      <c r="AE123" s="17">
        <f t="shared" ca="1" si="29"/>
        <v>2908.9672</v>
      </c>
      <c r="AF123" s="17">
        <f t="shared" ca="1" si="30"/>
        <v>2367.7639999999997</v>
      </c>
      <c r="AG123" s="17">
        <f t="shared" ca="1" si="31"/>
        <v>1014.7560000000003</v>
      </c>
      <c r="AH123" s="15" t="str">
        <f t="shared" ca="1" si="32"/>
        <v>R$ 253,69 x 4 Parcelas</v>
      </c>
      <c r="AJ123" s="41">
        <f t="shared" si="33"/>
        <v>1918.7399999999998</v>
      </c>
      <c r="AK123" s="42">
        <f t="shared" si="34"/>
        <v>3382.52</v>
      </c>
      <c r="AL123" s="43">
        <f t="shared" ca="1" si="35"/>
        <v>3078.0932000000003</v>
      </c>
      <c r="AM123" s="43">
        <f t="shared" ca="1" si="36"/>
        <v>2029.5119999999999</v>
      </c>
      <c r="AN123" s="43">
        <f t="shared" ca="1" si="37"/>
        <v>1159.3532000000005</v>
      </c>
      <c r="AO123" s="44" t="str">
        <f t="shared" ca="1" si="38"/>
        <v>R$ 289,84 x 4 Parcelas</v>
      </c>
    </row>
    <row r="124" spans="1:41" x14ac:dyDescent="0.3">
      <c r="A124" t="s">
        <v>321</v>
      </c>
      <c r="B124" t="s">
        <v>322</v>
      </c>
      <c r="C124" t="s">
        <v>323</v>
      </c>
      <c r="D124" t="s">
        <v>21</v>
      </c>
      <c r="E124" t="s">
        <v>324</v>
      </c>
      <c r="F124" t="s">
        <v>325</v>
      </c>
      <c r="G124" s="1">
        <v>110</v>
      </c>
      <c r="H124" t="s">
        <v>160</v>
      </c>
      <c r="I124" t="s">
        <v>29</v>
      </c>
      <c r="J124" t="s">
        <v>326</v>
      </c>
      <c r="K124" t="s">
        <v>327</v>
      </c>
      <c r="L124" t="s">
        <v>48</v>
      </c>
      <c r="M124" s="1">
        <v>1</v>
      </c>
      <c r="N124" s="4">
        <v>44809</v>
      </c>
      <c r="O124" s="2">
        <v>436.9</v>
      </c>
      <c r="P124" s="2">
        <v>558.79999999999995</v>
      </c>
      <c r="Q124" s="2">
        <v>8.74</v>
      </c>
      <c r="R124" s="2">
        <f t="shared" si="39"/>
        <v>995.69999999999993</v>
      </c>
      <c r="S124" t="s">
        <v>31</v>
      </c>
      <c r="T124" t="s">
        <v>0</v>
      </c>
      <c r="U124" s="5">
        <f t="shared" ca="1" si="22"/>
        <v>1281</v>
      </c>
      <c r="V124" s="37">
        <f t="shared" ca="1" si="21"/>
        <v>558.79999999999995</v>
      </c>
      <c r="W124" s="38">
        <f t="shared" ca="1" si="23"/>
        <v>995.69999999999993</v>
      </c>
      <c r="X124" s="38">
        <f t="shared" ca="1" si="24"/>
        <v>995.69999999999993</v>
      </c>
      <c r="Y124" s="39">
        <f t="shared" ca="1" si="40"/>
        <v>0</v>
      </c>
      <c r="Z124" s="39">
        <f t="shared" ca="1" si="25"/>
        <v>995.69999999999993</v>
      </c>
      <c r="AA124" s="40" t="str">
        <f t="shared" ca="1" si="41"/>
        <v>R$ 995,70 x 1 Parcelas</v>
      </c>
      <c r="AC124" s="17">
        <f t="shared" si="27"/>
        <v>569.82999999999993</v>
      </c>
      <c r="AD124" s="17">
        <f t="shared" si="28"/>
        <v>995.69999999999993</v>
      </c>
      <c r="AE124" s="17">
        <f t="shared" ca="1" si="29"/>
        <v>856.30199999999991</v>
      </c>
      <c r="AF124" s="17">
        <f t="shared" ca="1" si="30"/>
        <v>696.9899999999999</v>
      </c>
      <c r="AG124" s="17">
        <f t="shared" ca="1" si="31"/>
        <v>298.71000000000004</v>
      </c>
      <c r="AH124" s="15" t="str">
        <f t="shared" ca="1" si="32"/>
        <v>R$ 74,68 x 4 Parcelas</v>
      </c>
      <c r="AJ124" s="41">
        <f t="shared" si="33"/>
        <v>569.82999999999993</v>
      </c>
      <c r="AK124" s="42">
        <f t="shared" si="34"/>
        <v>995.69999999999993</v>
      </c>
      <c r="AL124" s="43">
        <f t="shared" ca="1" si="35"/>
        <v>906.08699999999999</v>
      </c>
      <c r="AM124" s="43">
        <f t="shared" ca="1" si="36"/>
        <v>597.41999999999996</v>
      </c>
      <c r="AN124" s="43">
        <f t="shared" ca="1" si="37"/>
        <v>336.25700000000006</v>
      </c>
      <c r="AO124" s="44" t="str">
        <f t="shared" ca="1" si="38"/>
        <v>R$ 84,06 x 4 Parcelas</v>
      </c>
    </row>
    <row r="125" spans="1:41" x14ac:dyDescent="0.3">
      <c r="A125" t="s">
        <v>321</v>
      </c>
      <c r="B125" t="s">
        <v>322</v>
      </c>
      <c r="C125" t="s">
        <v>323</v>
      </c>
      <c r="D125" t="s">
        <v>21</v>
      </c>
      <c r="E125" t="s">
        <v>324</v>
      </c>
      <c r="F125" t="s">
        <v>325</v>
      </c>
      <c r="G125" s="1">
        <v>110</v>
      </c>
      <c r="H125" t="s">
        <v>160</v>
      </c>
      <c r="I125" t="s">
        <v>29</v>
      </c>
      <c r="J125" t="s">
        <v>326</v>
      </c>
      <c r="K125" t="s">
        <v>327</v>
      </c>
      <c r="L125" t="s">
        <v>48</v>
      </c>
      <c r="M125" s="1">
        <v>1</v>
      </c>
      <c r="N125" s="4">
        <v>44809</v>
      </c>
      <c r="O125" s="2">
        <v>550.75</v>
      </c>
      <c r="P125" s="2">
        <v>704.41</v>
      </c>
      <c r="Q125" s="2">
        <v>11.02</v>
      </c>
      <c r="R125" s="2">
        <f t="shared" si="39"/>
        <v>1255.1599999999999</v>
      </c>
      <c r="S125" t="s">
        <v>31</v>
      </c>
      <c r="T125" t="s">
        <v>245</v>
      </c>
      <c r="U125" s="5">
        <f t="shared" ca="1" si="22"/>
        <v>1281</v>
      </c>
      <c r="V125" s="37">
        <f t="shared" ca="1" si="21"/>
        <v>704.41</v>
      </c>
      <c r="W125" s="38">
        <f t="shared" ca="1" si="23"/>
        <v>1255.1599999999999</v>
      </c>
      <c r="X125" s="38">
        <f t="shared" ca="1" si="24"/>
        <v>1255.1599999999999</v>
      </c>
      <c r="Y125" s="39">
        <f t="shared" ca="1" si="40"/>
        <v>0</v>
      </c>
      <c r="Z125" s="39">
        <f t="shared" ca="1" si="25"/>
        <v>1255.1599999999999</v>
      </c>
      <c r="AA125" s="40" t="str">
        <f t="shared" ca="1" si="41"/>
        <v>R$ 1.255,16 x 1 Parcelas</v>
      </c>
      <c r="AC125" s="17">
        <f t="shared" si="27"/>
        <v>714.77</v>
      </c>
      <c r="AD125" s="17">
        <f t="shared" si="28"/>
        <v>1255.1599999999999</v>
      </c>
      <c r="AE125" s="17">
        <f t="shared" ca="1" si="29"/>
        <v>1079.4375999999997</v>
      </c>
      <c r="AF125" s="17">
        <f t="shared" ca="1" si="30"/>
        <v>878.61199999999985</v>
      </c>
      <c r="AG125" s="17">
        <f t="shared" ca="1" si="31"/>
        <v>376.548</v>
      </c>
      <c r="AH125" s="15" t="str">
        <f t="shared" ca="1" si="32"/>
        <v>R$ 94,14 x 4 Parcelas</v>
      </c>
      <c r="AJ125" s="41">
        <f t="shared" si="33"/>
        <v>714.77</v>
      </c>
      <c r="AK125" s="42">
        <f t="shared" si="34"/>
        <v>1255.1599999999999</v>
      </c>
      <c r="AL125" s="43">
        <f t="shared" ca="1" si="35"/>
        <v>1142.1956</v>
      </c>
      <c r="AM125" s="43">
        <f t="shared" ca="1" si="36"/>
        <v>753.09599999999989</v>
      </c>
      <c r="AN125" s="43">
        <f t="shared" ca="1" si="37"/>
        <v>427.42560000000003</v>
      </c>
      <c r="AO125" s="44" t="str">
        <f t="shared" ca="1" si="38"/>
        <v>R$ 106,86 x 4 Parcelas</v>
      </c>
    </row>
    <row r="126" spans="1:41" x14ac:dyDescent="0.3">
      <c r="A126" t="s">
        <v>307</v>
      </c>
      <c r="B126" t="s">
        <v>308</v>
      </c>
      <c r="C126" t="s">
        <v>309</v>
      </c>
      <c r="D126" t="s">
        <v>21</v>
      </c>
      <c r="E126" t="s">
        <v>310</v>
      </c>
      <c r="F126" t="s">
        <v>311</v>
      </c>
      <c r="G126" s="1">
        <v>100</v>
      </c>
      <c r="H126" t="s">
        <v>312</v>
      </c>
      <c r="I126" t="s">
        <v>29</v>
      </c>
      <c r="J126" t="s">
        <v>313</v>
      </c>
      <c r="K126" t="s">
        <v>21</v>
      </c>
      <c r="L126" t="s">
        <v>48</v>
      </c>
      <c r="M126" s="1">
        <v>7</v>
      </c>
      <c r="N126" s="4">
        <v>44819</v>
      </c>
      <c r="O126" s="2">
        <v>516.91999999999996</v>
      </c>
      <c r="P126" s="2">
        <v>655.97</v>
      </c>
      <c r="Q126" s="2">
        <v>10.34</v>
      </c>
      <c r="R126" s="2">
        <f t="shared" si="39"/>
        <v>1172.8899999999999</v>
      </c>
      <c r="S126" t="s">
        <v>31</v>
      </c>
      <c r="T126" t="s">
        <v>0</v>
      </c>
      <c r="U126" s="5">
        <f t="shared" ca="1" si="22"/>
        <v>1271</v>
      </c>
      <c r="V126" s="37">
        <f t="shared" ca="1" si="21"/>
        <v>655.97</v>
      </c>
      <c r="W126" s="38">
        <f t="shared" ca="1" si="23"/>
        <v>1172.8899999999999</v>
      </c>
      <c r="X126" s="38">
        <f t="shared" ca="1" si="24"/>
        <v>1172.8899999999999</v>
      </c>
      <c r="Y126" s="39">
        <f t="shared" ca="1" si="40"/>
        <v>0</v>
      </c>
      <c r="Z126" s="39">
        <f t="shared" ca="1" si="25"/>
        <v>1172.8899999999999</v>
      </c>
      <c r="AA126" s="40" t="str">
        <f t="shared" ca="1" si="41"/>
        <v>R$ 1.172,89 x 1 Parcelas</v>
      </c>
      <c r="AC126" s="17">
        <f t="shared" si="27"/>
        <v>667</v>
      </c>
      <c r="AD126" s="17">
        <f t="shared" si="28"/>
        <v>1172.8899999999999</v>
      </c>
      <c r="AE126" s="17">
        <f t="shared" ca="1" si="29"/>
        <v>1008.6853999999998</v>
      </c>
      <c r="AF126" s="17">
        <f t="shared" ca="1" si="30"/>
        <v>821.02299999999991</v>
      </c>
      <c r="AG126" s="17">
        <f t="shared" ca="1" si="31"/>
        <v>351.86699999999996</v>
      </c>
      <c r="AH126" s="15" t="str">
        <f t="shared" ca="1" si="32"/>
        <v>R$ 87,97 x 4 Parcelas</v>
      </c>
      <c r="AJ126" s="41">
        <f t="shared" si="33"/>
        <v>667</v>
      </c>
      <c r="AK126" s="42">
        <f t="shared" si="34"/>
        <v>1172.8899999999999</v>
      </c>
      <c r="AL126" s="43">
        <f t="shared" ca="1" si="35"/>
        <v>1067.3299</v>
      </c>
      <c r="AM126" s="43">
        <f t="shared" ca="1" si="36"/>
        <v>703.73399999999992</v>
      </c>
      <c r="AN126" s="43">
        <f t="shared" ca="1" si="37"/>
        <v>400.32989999999995</v>
      </c>
      <c r="AO126" s="44" t="str">
        <f t="shared" ca="1" si="38"/>
        <v>R$ 100,08 x 4 Parcelas</v>
      </c>
    </row>
    <row r="127" spans="1:41" x14ac:dyDescent="0.3">
      <c r="A127" t="s">
        <v>329</v>
      </c>
      <c r="B127" t="s">
        <v>330</v>
      </c>
      <c r="C127" t="s">
        <v>331</v>
      </c>
      <c r="D127" t="s">
        <v>21</v>
      </c>
      <c r="E127" t="s">
        <v>328</v>
      </c>
      <c r="F127" t="s">
        <v>332</v>
      </c>
      <c r="G127" s="1">
        <v>2795</v>
      </c>
      <c r="H127" t="s">
        <v>333</v>
      </c>
      <c r="I127" t="s">
        <v>29</v>
      </c>
      <c r="J127" t="s">
        <v>334</v>
      </c>
      <c r="K127" t="s">
        <v>21</v>
      </c>
      <c r="L127" t="s">
        <v>48</v>
      </c>
      <c r="M127" s="1">
        <v>1</v>
      </c>
      <c r="N127" s="4">
        <v>44876</v>
      </c>
      <c r="O127" s="2">
        <v>1036.73</v>
      </c>
      <c r="P127" s="2">
        <v>418.84</v>
      </c>
      <c r="Q127" s="2">
        <v>20.73</v>
      </c>
      <c r="R127" s="2">
        <f t="shared" si="39"/>
        <v>1455.57</v>
      </c>
      <c r="S127" t="s">
        <v>31</v>
      </c>
      <c r="T127" t="s">
        <v>0</v>
      </c>
      <c r="U127" s="5">
        <f t="shared" ca="1" si="22"/>
        <v>1214</v>
      </c>
      <c r="V127" s="37">
        <f t="shared" ca="1" si="21"/>
        <v>418.84</v>
      </c>
      <c r="W127" s="38">
        <f t="shared" ca="1" si="23"/>
        <v>1455.57</v>
      </c>
      <c r="X127" s="38">
        <f t="shared" ca="1" si="24"/>
        <v>1455.57</v>
      </c>
      <c r="Y127" s="39">
        <f t="shared" ca="1" si="40"/>
        <v>0</v>
      </c>
      <c r="Z127" s="39">
        <f t="shared" ca="1" si="25"/>
        <v>1455.57</v>
      </c>
      <c r="AA127" s="40" t="str">
        <f t="shared" ca="1" si="41"/>
        <v>R$ 1.455,57 x 1 Parcelas</v>
      </c>
      <c r="AC127" s="17">
        <f t="shared" si="27"/>
        <v>430.21</v>
      </c>
      <c r="AD127" s="17">
        <f t="shared" si="28"/>
        <v>1455.57</v>
      </c>
      <c r="AE127" s="17">
        <f t="shared" ca="1" si="29"/>
        <v>1251.7901999999999</v>
      </c>
      <c r="AF127" s="17">
        <f t="shared" ca="1" si="30"/>
        <v>1018.8989999999999</v>
      </c>
      <c r="AG127" s="17">
        <f t="shared" ca="1" si="31"/>
        <v>436.67100000000005</v>
      </c>
      <c r="AH127" s="15" t="str">
        <f t="shared" ca="1" si="32"/>
        <v>R$ 109,17 x 4 Parcelas</v>
      </c>
      <c r="AJ127" s="41">
        <f t="shared" si="33"/>
        <v>430.21</v>
      </c>
      <c r="AK127" s="42">
        <f t="shared" si="34"/>
        <v>1455.57</v>
      </c>
      <c r="AL127" s="43">
        <f t="shared" ca="1" si="35"/>
        <v>1324.5687</v>
      </c>
      <c r="AM127" s="43">
        <f t="shared" ca="1" si="36"/>
        <v>873.34199999999998</v>
      </c>
      <c r="AN127" s="43">
        <f t="shared" ca="1" si="37"/>
        <v>894.3587</v>
      </c>
      <c r="AO127" s="44" t="str">
        <f t="shared" ca="1" si="38"/>
        <v>R$ 223,59 x 4 Parcelas</v>
      </c>
    </row>
    <row r="128" spans="1:41" x14ac:dyDescent="0.3">
      <c r="A128" t="s">
        <v>329</v>
      </c>
      <c r="B128" t="s">
        <v>330</v>
      </c>
      <c r="C128" t="s">
        <v>331</v>
      </c>
      <c r="D128" t="s">
        <v>21</v>
      </c>
      <c r="E128" t="s">
        <v>328</v>
      </c>
      <c r="F128" t="s">
        <v>332</v>
      </c>
      <c r="G128" s="1">
        <v>2795</v>
      </c>
      <c r="H128" t="s">
        <v>333</v>
      </c>
      <c r="I128" t="s">
        <v>29</v>
      </c>
      <c r="J128" t="s">
        <v>334</v>
      </c>
      <c r="K128" t="s">
        <v>21</v>
      </c>
      <c r="L128" t="s">
        <v>48</v>
      </c>
      <c r="M128" s="1">
        <v>1</v>
      </c>
      <c r="N128" s="4">
        <v>44876</v>
      </c>
      <c r="O128" s="2">
        <v>564.58000000000004</v>
      </c>
      <c r="P128" s="2">
        <v>228.09</v>
      </c>
      <c r="Q128" s="2">
        <v>11.29</v>
      </c>
      <c r="R128" s="2">
        <f t="shared" si="39"/>
        <v>792.67000000000007</v>
      </c>
      <c r="S128" t="s">
        <v>31</v>
      </c>
      <c r="T128" t="s">
        <v>245</v>
      </c>
      <c r="U128" s="5">
        <f t="shared" ca="1" si="22"/>
        <v>1214</v>
      </c>
      <c r="V128" s="37">
        <f t="shared" ca="1" si="21"/>
        <v>228.09</v>
      </c>
      <c r="W128" s="38">
        <f t="shared" ca="1" si="23"/>
        <v>792.67000000000007</v>
      </c>
      <c r="X128" s="38">
        <f t="shared" ca="1" si="24"/>
        <v>792.67000000000007</v>
      </c>
      <c r="Y128" s="39">
        <f t="shared" ca="1" si="40"/>
        <v>0</v>
      </c>
      <c r="Z128" s="39">
        <f t="shared" ca="1" si="25"/>
        <v>792.67000000000007</v>
      </c>
      <c r="AA128" s="40" t="str">
        <f t="shared" ca="1" si="41"/>
        <v>R$ 792,67 x 1 Parcelas</v>
      </c>
      <c r="AC128" s="17">
        <f t="shared" si="27"/>
        <v>238.45</v>
      </c>
      <c r="AD128" s="17">
        <f t="shared" si="28"/>
        <v>792.67000000000007</v>
      </c>
      <c r="AE128" s="17">
        <f t="shared" ca="1" si="29"/>
        <v>681.69620000000009</v>
      </c>
      <c r="AF128" s="17">
        <f t="shared" ca="1" si="30"/>
        <v>554.86900000000003</v>
      </c>
      <c r="AG128" s="17">
        <f t="shared" ca="1" si="31"/>
        <v>237.80100000000004</v>
      </c>
      <c r="AH128" s="15" t="str">
        <f t="shared" ca="1" si="32"/>
        <v>R$ 59,45 x 4 Parcelas</v>
      </c>
      <c r="AJ128" s="41">
        <f t="shared" si="33"/>
        <v>238.45</v>
      </c>
      <c r="AK128" s="42">
        <f t="shared" si="34"/>
        <v>792.67000000000007</v>
      </c>
      <c r="AL128" s="43">
        <f t="shared" ca="1" si="35"/>
        <v>721.32970000000012</v>
      </c>
      <c r="AM128" s="43">
        <f t="shared" ca="1" si="36"/>
        <v>475.60200000000003</v>
      </c>
      <c r="AN128" s="43">
        <f t="shared" ca="1" si="37"/>
        <v>482.87970000000013</v>
      </c>
      <c r="AO128" s="44" t="str">
        <f t="shared" ca="1" si="38"/>
        <v>R$ 120,72 x 4 Parcelas</v>
      </c>
    </row>
    <row r="129" spans="1:41" x14ac:dyDescent="0.3">
      <c r="A129" t="s">
        <v>329</v>
      </c>
      <c r="B129" t="s">
        <v>330</v>
      </c>
      <c r="C129" t="s">
        <v>331</v>
      </c>
      <c r="D129" t="s">
        <v>21</v>
      </c>
      <c r="E129" t="s">
        <v>328</v>
      </c>
      <c r="F129" t="s">
        <v>332</v>
      </c>
      <c r="G129" s="1">
        <v>2795</v>
      </c>
      <c r="H129" t="s">
        <v>333</v>
      </c>
      <c r="I129" t="s">
        <v>29</v>
      </c>
      <c r="J129" t="s">
        <v>334</v>
      </c>
      <c r="K129" t="s">
        <v>21</v>
      </c>
      <c r="L129" t="s">
        <v>48</v>
      </c>
      <c r="M129" s="1">
        <v>1</v>
      </c>
      <c r="N129" s="4">
        <v>44876</v>
      </c>
      <c r="O129" s="2">
        <v>120</v>
      </c>
      <c r="P129" s="2">
        <v>48.48</v>
      </c>
      <c r="Q129" s="2">
        <v>2.4</v>
      </c>
      <c r="R129" s="2">
        <f t="shared" si="39"/>
        <v>168.48</v>
      </c>
      <c r="S129" t="s">
        <v>31</v>
      </c>
      <c r="T129" t="s">
        <v>32</v>
      </c>
      <c r="U129" s="5">
        <f t="shared" ca="1" si="22"/>
        <v>1214</v>
      </c>
      <c r="V129" s="37">
        <f t="shared" ca="1" si="21"/>
        <v>48.48</v>
      </c>
      <c r="W129" s="38">
        <f t="shared" ca="1" si="23"/>
        <v>168.48</v>
      </c>
      <c r="X129" s="38">
        <f t="shared" ca="1" si="24"/>
        <v>168.48</v>
      </c>
      <c r="Y129" s="39">
        <f t="shared" ca="1" si="40"/>
        <v>0</v>
      </c>
      <c r="Z129" s="39">
        <f t="shared" ca="1" si="25"/>
        <v>168.48</v>
      </c>
      <c r="AA129" s="40" t="str">
        <f t="shared" ca="1" si="41"/>
        <v>R$ 168,48 x 1 Parcelas</v>
      </c>
      <c r="AC129" s="17">
        <f t="shared" si="27"/>
        <v>59.51</v>
      </c>
      <c r="AD129" s="17">
        <f t="shared" si="28"/>
        <v>168.48</v>
      </c>
      <c r="AE129" s="17">
        <f t="shared" ca="1" si="29"/>
        <v>144.89279999999999</v>
      </c>
      <c r="AF129" s="17">
        <f t="shared" ca="1" si="30"/>
        <v>117.93599999999998</v>
      </c>
      <c r="AG129" s="17">
        <f t="shared" ca="1" si="31"/>
        <v>50.544000000000011</v>
      </c>
      <c r="AH129" s="15" t="str">
        <f t="shared" ca="1" si="32"/>
        <v>R$ 12,64 x 4 Parcelas</v>
      </c>
      <c r="AJ129" s="41">
        <f t="shared" si="33"/>
        <v>59.51</v>
      </c>
      <c r="AK129" s="42">
        <f t="shared" si="34"/>
        <v>168.48</v>
      </c>
      <c r="AL129" s="43">
        <f t="shared" ca="1" si="35"/>
        <v>153.3168</v>
      </c>
      <c r="AM129" s="43">
        <f t="shared" ca="1" si="36"/>
        <v>101.08799999999999</v>
      </c>
      <c r="AN129" s="43">
        <f t="shared" ca="1" si="37"/>
        <v>93.80680000000001</v>
      </c>
      <c r="AO129" s="44" t="str">
        <f t="shared" ca="1" si="38"/>
        <v>R$ 23,45 x 4 Parcelas</v>
      </c>
    </row>
    <row r="130" spans="1:41" x14ac:dyDescent="0.3">
      <c r="A130" t="s">
        <v>335</v>
      </c>
      <c r="B130" t="s">
        <v>336</v>
      </c>
      <c r="C130" t="s">
        <v>337</v>
      </c>
      <c r="D130" t="s">
        <v>21</v>
      </c>
      <c r="E130" t="s">
        <v>338</v>
      </c>
      <c r="F130" t="s">
        <v>339</v>
      </c>
      <c r="G130" s="1">
        <v>1415</v>
      </c>
      <c r="H130" t="s">
        <v>340</v>
      </c>
      <c r="I130" t="s">
        <v>29</v>
      </c>
      <c r="J130" t="s">
        <v>341</v>
      </c>
      <c r="K130" t="s">
        <v>21</v>
      </c>
      <c r="L130" t="s">
        <v>48</v>
      </c>
      <c r="M130" s="1">
        <v>12</v>
      </c>
      <c r="N130" s="4">
        <v>44900</v>
      </c>
      <c r="O130" s="2">
        <v>501.18</v>
      </c>
      <c r="P130" s="2">
        <v>595.4</v>
      </c>
      <c r="Q130" s="2">
        <v>10.02</v>
      </c>
      <c r="R130" s="2">
        <f t="shared" si="39"/>
        <v>1096.58</v>
      </c>
      <c r="S130" t="s">
        <v>31</v>
      </c>
      <c r="T130" t="s">
        <v>0</v>
      </c>
      <c r="U130" s="5">
        <f t="shared" ca="1" si="22"/>
        <v>1190</v>
      </c>
      <c r="V130" s="37">
        <f t="shared" ca="1" si="21"/>
        <v>595.4</v>
      </c>
      <c r="W130" s="38">
        <f t="shared" ca="1" si="23"/>
        <v>1096.58</v>
      </c>
      <c r="X130" s="38">
        <f t="shared" ca="1" si="24"/>
        <v>1096.58</v>
      </c>
      <c r="Y130" s="39">
        <f t="shared" ca="1" si="40"/>
        <v>0</v>
      </c>
      <c r="Z130" s="39">
        <f t="shared" ca="1" si="25"/>
        <v>1096.58</v>
      </c>
      <c r="AA130" s="40" t="str">
        <f t="shared" ca="1" si="41"/>
        <v>R$ 1.096,58 x 1 Parcelas</v>
      </c>
      <c r="AC130" s="17">
        <f t="shared" si="27"/>
        <v>606.77</v>
      </c>
      <c r="AD130" s="17">
        <f t="shared" si="28"/>
        <v>1096.58</v>
      </c>
      <c r="AE130" s="17">
        <f t="shared" ca="1" si="29"/>
        <v>943.05879999999991</v>
      </c>
      <c r="AF130" s="17">
        <f t="shared" ca="1" si="30"/>
        <v>767.60599999999988</v>
      </c>
      <c r="AG130" s="17">
        <f t="shared" ca="1" si="31"/>
        <v>328.97400000000005</v>
      </c>
      <c r="AH130" s="15" t="str">
        <f t="shared" ca="1" si="32"/>
        <v>R$ 82,24 x 4 Parcelas</v>
      </c>
      <c r="AJ130" s="41">
        <f t="shared" si="33"/>
        <v>606.77</v>
      </c>
      <c r="AK130" s="42">
        <f t="shared" si="34"/>
        <v>1096.58</v>
      </c>
      <c r="AL130" s="43">
        <f t="shared" ca="1" si="35"/>
        <v>997.88779999999997</v>
      </c>
      <c r="AM130" s="43">
        <f t="shared" ca="1" si="36"/>
        <v>657.94799999999998</v>
      </c>
      <c r="AN130" s="43">
        <f t="shared" ca="1" si="37"/>
        <v>391.11779999999999</v>
      </c>
      <c r="AO130" s="44" t="str">
        <f t="shared" ca="1" si="38"/>
        <v>R$ 97,78 x 4 Parcelas</v>
      </c>
    </row>
    <row r="131" spans="1:41" x14ac:dyDescent="0.3">
      <c r="A131" t="s">
        <v>307</v>
      </c>
      <c r="B131" t="s">
        <v>308</v>
      </c>
      <c r="C131" t="s">
        <v>309</v>
      </c>
      <c r="D131" t="s">
        <v>21</v>
      </c>
      <c r="E131" t="s">
        <v>310</v>
      </c>
      <c r="F131" t="s">
        <v>311</v>
      </c>
      <c r="G131" s="1">
        <v>100</v>
      </c>
      <c r="H131" t="s">
        <v>312</v>
      </c>
      <c r="I131" t="s">
        <v>29</v>
      </c>
      <c r="J131" t="s">
        <v>313</v>
      </c>
      <c r="K131" t="s">
        <v>21</v>
      </c>
      <c r="L131" t="s">
        <v>48</v>
      </c>
      <c r="M131" s="1">
        <v>12</v>
      </c>
      <c r="N131" s="4">
        <v>44972</v>
      </c>
      <c r="O131" s="2">
        <v>516.91999999999996</v>
      </c>
      <c r="P131" s="2">
        <v>576.88</v>
      </c>
      <c r="Q131" s="2">
        <v>10.34</v>
      </c>
      <c r="R131" s="2">
        <f t="shared" si="39"/>
        <v>1093.8</v>
      </c>
      <c r="S131" t="s">
        <v>31</v>
      </c>
      <c r="T131" t="s">
        <v>0</v>
      </c>
      <c r="U131" s="5">
        <f t="shared" ca="1" si="22"/>
        <v>1118</v>
      </c>
      <c r="V131" s="37">
        <f t="shared" ref="V131:V194" ca="1" si="42">P131*(1-VLOOKUP(U131, $BC$3:$BG$12, 2, TRUE))</f>
        <v>576.88</v>
      </c>
      <c r="W131" s="38">
        <f t="shared" ca="1" si="23"/>
        <v>1093.8</v>
      </c>
      <c r="X131" s="38">
        <f t="shared" ca="1" si="24"/>
        <v>1093.8</v>
      </c>
      <c r="Y131" s="39">
        <f t="shared" ca="1" si="40"/>
        <v>0</v>
      </c>
      <c r="Z131" s="39">
        <f t="shared" ca="1" si="25"/>
        <v>1093.8</v>
      </c>
      <c r="AA131" s="40" t="str">
        <f t="shared" ca="1" si="41"/>
        <v>R$ 1.093,80 x 1 Parcelas</v>
      </c>
      <c r="AC131" s="17">
        <f t="shared" si="27"/>
        <v>587.12</v>
      </c>
      <c r="AD131" s="17">
        <f t="shared" si="28"/>
        <v>1093.8</v>
      </c>
      <c r="AE131" s="17">
        <f t="shared" ca="1" si="29"/>
        <v>940.66799999999989</v>
      </c>
      <c r="AF131" s="17">
        <f t="shared" ca="1" si="30"/>
        <v>765.66</v>
      </c>
      <c r="AG131" s="17">
        <f t="shared" ca="1" si="31"/>
        <v>328.14</v>
      </c>
      <c r="AH131" s="15" t="str">
        <f t="shared" ca="1" si="32"/>
        <v>R$ 82,04 x 4 Parcelas</v>
      </c>
      <c r="AJ131" s="41">
        <f t="shared" si="33"/>
        <v>587.12</v>
      </c>
      <c r="AK131" s="42">
        <f t="shared" si="34"/>
        <v>1093.8</v>
      </c>
      <c r="AL131" s="43">
        <f t="shared" ca="1" si="35"/>
        <v>995.35799999999995</v>
      </c>
      <c r="AM131" s="43">
        <f t="shared" ca="1" si="36"/>
        <v>656.28</v>
      </c>
      <c r="AN131" s="43">
        <f t="shared" ca="1" si="37"/>
        <v>408.23799999999994</v>
      </c>
      <c r="AO131" s="44" t="str">
        <f t="shared" ca="1" si="38"/>
        <v>R$ 102,06 x 4 Parcelas</v>
      </c>
    </row>
    <row r="132" spans="1:41" x14ac:dyDescent="0.3">
      <c r="A132" t="s">
        <v>343</v>
      </c>
      <c r="B132" t="s">
        <v>344</v>
      </c>
      <c r="C132" t="s">
        <v>345</v>
      </c>
      <c r="D132" t="s">
        <v>21</v>
      </c>
      <c r="E132" t="s">
        <v>342</v>
      </c>
      <c r="F132" t="s">
        <v>346</v>
      </c>
      <c r="G132" s="1">
        <v>52</v>
      </c>
      <c r="H132" t="s">
        <v>347</v>
      </c>
      <c r="I132" t="s">
        <v>29</v>
      </c>
      <c r="J132" t="s">
        <v>348</v>
      </c>
      <c r="K132" t="s">
        <v>21</v>
      </c>
      <c r="L132" t="s">
        <v>48</v>
      </c>
      <c r="M132" s="1">
        <v>8</v>
      </c>
      <c r="N132" s="4">
        <v>44985</v>
      </c>
      <c r="O132" s="2">
        <v>516.91999999999996</v>
      </c>
      <c r="P132" s="2">
        <v>190.05</v>
      </c>
      <c r="Q132" s="2">
        <v>10.34</v>
      </c>
      <c r="R132" s="2">
        <f t="shared" si="39"/>
        <v>706.97</v>
      </c>
      <c r="S132" t="s">
        <v>31</v>
      </c>
      <c r="T132" t="s">
        <v>0</v>
      </c>
      <c r="U132" s="5">
        <f t="shared" ref="U132:U195" ca="1" si="43">TODAY()-N132</f>
        <v>1105</v>
      </c>
      <c r="V132" s="37">
        <f t="shared" ca="1" si="42"/>
        <v>190.05</v>
      </c>
      <c r="W132" s="38">
        <f t="shared" ref="W132:W195" ca="1" si="44">O132+V132</f>
        <v>706.97</v>
      </c>
      <c r="X132" s="38">
        <f t="shared" ref="X132:X195" ca="1" si="45">W132 * (1 - VLOOKUP(U132, $BC$3:$BG$11, 3, TRUE))</f>
        <v>706.97</v>
      </c>
      <c r="Y132" s="39">
        <f t="shared" ca="1" si="40"/>
        <v>0</v>
      </c>
      <c r="Z132" s="39">
        <f t="shared" ref="Z132:Z195" ca="1" si="46">W132-Y132</f>
        <v>706.97</v>
      </c>
      <c r="AA132" s="40" t="str">
        <f t="shared" ref="AA132:AA195" ca="1" si="47">(TEXT(Z132/VLOOKUP(U132,$BC$4:$BG$11,5,1),"R$ #.##0,00")&amp;" x "&amp;VLOOKUP(U132,$BC$3:$BG$11,5,1)&amp;" Parcelas")</f>
        <v>R$ 706,97 x 1 Parcelas</v>
      </c>
      <c r="AC132" s="17">
        <f t="shared" ref="AC132:AC195" si="48">P132+Q153</f>
        <v>200.41000000000003</v>
      </c>
      <c r="AD132" s="17">
        <f t="shared" ref="AD132:AD195" si="49">R132</f>
        <v>706.97</v>
      </c>
      <c r="AE132" s="17">
        <f t="shared" ref="AE132:AE195" ca="1" si="50">AD132 * (1 - VLOOKUP(U132, $AQ$3:$AU$11, 3, TRUE))</f>
        <v>607.99419999999998</v>
      </c>
      <c r="AF132" s="17">
        <f t="shared" ref="AF132:AF195" ca="1" si="51">AD132 * (1 - VLOOKUP(U132, $AQ$3:$AU$11, 4, TRUE))</f>
        <v>494.87899999999996</v>
      </c>
      <c r="AG132" s="17">
        <f t="shared" ref="AG132:AG195" ca="1" si="52">AD132-AF132</f>
        <v>212.09100000000007</v>
      </c>
      <c r="AH132" s="15" t="str">
        <f t="shared" ref="AH132:AH195" ca="1" si="53">(TEXT(AG132/VLOOKUP(U132,$AQ$4:$AU$11,5,1),"R$ #.##0,00")&amp;" x "&amp;VLOOKUP(U132,$AQ$4:$AU$11,5,1)&amp;" Parcelas")</f>
        <v>R$ 53,02 x 4 Parcelas</v>
      </c>
      <c r="AJ132" s="41">
        <f t="shared" ref="AJ132:AJ195" si="54">P132+Q153</f>
        <v>200.41000000000003</v>
      </c>
      <c r="AK132" s="42">
        <f t="shared" ref="AK132:AK195" si="55">R132</f>
        <v>706.97</v>
      </c>
      <c r="AL132" s="43">
        <f t="shared" ref="AL132:AL195" ca="1" si="56">AK132 * (1 - VLOOKUP(U132, $AW$4:$BA$12, 3, TRUE))</f>
        <v>643.34270000000004</v>
      </c>
      <c r="AM132" s="43">
        <f t="shared" ref="AM132:AM195" ca="1" si="57">AK132 * (1 - VLOOKUP(U132, $AW$4:$BA$12, 4, TRUE))</f>
        <v>424.18200000000002</v>
      </c>
      <c r="AN132" s="43">
        <f t="shared" ref="AN132:AN195" ca="1" si="58">AL132-AJ132</f>
        <v>442.93270000000001</v>
      </c>
      <c r="AO132" s="44" t="str">
        <f t="shared" ref="AO132:AO195" ca="1" si="59">(TEXT(AN132/VLOOKUP(U132,$AW$4:$BA$12,5,1),"R$ #.##0,00")&amp;" x "&amp;VLOOKUP(U132,$AQ$4:$AU$11,5,1)&amp;" Parcelas")</f>
        <v>R$ 110,73 x 4 Parcelas</v>
      </c>
    </row>
    <row r="133" spans="1:41" x14ac:dyDescent="0.3">
      <c r="A133" t="s">
        <v>343</v>
      </c>
      <c r="B133" t="s">
        <v>344</v>
      </c>
      <c r="C133" t="s">
        <v>345</v>
      </c>
      <c r="D133" t="s">
        <v>21</v>
      </c>
      <c r="E133" t="s">
        <v>342</v>
      </c>
      <c r="F133" t="s">
        <v>346</v>
      </c>
      <c r="G133" s="1">
        <v>52</v>
      </c>
      <c r="H133" t="s">
        <v>347</v>
      </c>
      <c r="I133" t="s">
        <v>29</v>
      </c>
      <c r="J133" t="s">
        <v>348</v>
      </c>
      <c r="K133" t="s">
        <v>21</v>
      </c>
      <c r="L133" t="s">
        <v>48</v>
      </c>
      <c r="M133" s="1">
        <v>1</v>
      </c>
      <c r="N133" s="4">
        <v>45005</v>
      </c>
      <c r="O133" s="2">
        <v>258.45999999999998</v>
      </c>
      <c r="P133" s="2">
        <v>93.3</v>
      </c>
      <c r="Q133" s="2">
        <v>5.17</v>
      </c>
      <c r="R133" s="2">
        <f t="shared" ref="R133:R196" si="60">O133+P133</f>
        <v>351.76</v>
      </c>
      <c r="S133" t="s">
        <v>31</v>
      </c>
      <c r="T133" t="s">
        <v>245</v>
      </c>
      <c r="U133" s="5">
        <f t="shared" ca="1" si="43"/>
        <v>1085</v>
      </c>
      <c r="V133" s="37">
        <f t="shared" ca="1" si="42"/>
        <v>93.3</v>
      </c>
      <c r="W133" s="38">
        <f t="shared" ca="1" si="44"/>
        <v>351.76</v>
      </c>
      <c r="X133" s="38">
        <f t="shared" ca="1" si="45"/>
        <v>351.76</v>
      </c>
      <c r="Y133" s="39">
        <f t="shared" ca="1" si="40"/>
        <v>0</v>
      </c>
      <c r="Z133" s="39">
        <f t="shared" ca="1" si="46"/>
        <v>351.76</v>
      </c>
      <c r="AA133" s="40" t="str">
        <f t="shared" ca="1" si="47"/>
        <v>R$ 351,76 x 1 Parcelas</v>
      </c>
      <c r="AC133" s="17">
        <f t="shared" si="48"/>
        <v>104.33</v>
      </c>
      <c r="AD133" s="17">
        <f t="shared" si="49"/>
        <v>351.76</v>
      </c>
      <c r="AE133" s="17">
        <f t="shared" ca="1" si="50"/>
        <v>306.03120000000001</v>
      </c>
      <c r="AF133" s="17">
        <f t="shared" ca="1" si="51"/>
        <v>246.23199999999997</v>
      </c>
      <c r="AG133" s="17">
        <f t="shared" ca="1" si="52"/>
        <v>105.52800000000002</v>
      </c>
      <c r="AH133" s="15" t="str">
        <f t="shared" ca="1" si="53"/>
        <v>R$ 26,38 x 4 Parcelas</v>
      </c>
      <c r="AJ133" s="41">
        <f t="shared" si="54"/>
        <v>104.33</v>
      </c>
      <c r="AK133" s="42">
        <f t="shared" si="55"/>
        <v>351.76</v>
      </c>
      <c r="AL133" s="43">
        <f t="shared" ca="1" si="56"/>
        <v>323.61919999999998</v>
      </c>
      <c r="AM133" s="43">
        <f t="shared" ca="1" si="57"/>
        <v>211.05599999999998</v>
      </c>
      <c r="AN133" s="43">
        <f t="shared" ca="1" si="58"/>
        <v>219.28919999999999</v>
      </c>
      <c r="AO133" s="44" t="str">
        <f t="shared" ca="1" si="59"/>
        <v>R$ 54,82 x 4 Parcelas</v>
      </c>
    </row>
    <row r="134" spans="1:41" x14ac:dyDescent="0.3">
      <c r="A134" t="s">
        <v>343</v>
      </c>
      <c r="B134" t="s">
        <v>344</v>
      </c>
      <c r="C134" t="s">
        <v>345</v>
      </c>
      <c r="D134" t="s">
        <v>21</v>
      </c>
      <c r="E134" t="s">
        <v>342</v>
      </c>
      <c r="F134" t="s">
        <v>346</v>
      </c>
      <c r="G134" s="1">
        <v>52</v>
      </c>
      <c r="H134" t="s">
        <v>347</v>
      </c>
      <c r="I134" t="s">
        <v>29</v>
      </c>
      <c r="J134" t="s">
        <v>348</v>
      </c>
      <c r="K134" t="s">
        <v>21</v>
      </c>
      <c r="L134" t="s">
        <v>48</v>
      </c>
      <c r="M134" s="1">
        <v>9</v>
      </c>
      <c r="N134" s="4">
        <v>45015</v>
      </c>
      <c r="O134" s="2">
        <v>516.91999999999996</v>
      </c>
      <c r="P134" s="2">
        <v>184.89</v>
      </c>
      <c r="Q134" s="2">
        <v>10.34</v>
      </c>
      <c r="R134" s="2">
        <f t="shared" si="60"/>
        <v>701.81</v>
      </c>
      <c r="S134" t="s">
        <v>31</v>
      </c>
      <c r="T134" t="s">
        <v>0</v>
      </c>
      <c r="U134" s="5">
        <f t="shared" ca="1" si="43"/>
        <v>1075</v>
      </c>
      <c r="V134" s="37">
        <f t="shared" ca="1" si="42"/>
        <v>184.89</v>
      </c>
      <c r="W134" s="38">
        <f t="shared" ca="1" si="44"/>
        <v>701.81</v>
      </c>
      <c r="X134" s="38">
        <f t="shared" ca="1" si="45"/>
        <v>701.81</v>
      </c>
      <c r="Y134" s="39">
        <f t="shared" ca="1" si="40"/>
        <v>0</v>
      </c>
      <c r="Z134" s="39">
        <f t="shared" ca="1" si="46"/>
        <v>701.81</v>
      </c>
      <c r="AA134" s="40" t="str">
        <f t="shared" ca="1" si="47"/>
        <v>R$ 701,81 x 1 Parcelas</v>
      </c>
      <c r="AC134" s="17">
        <f t="shared" si="48"/>
        <v>196.26</v>
      </c>
      <c r="AD134" s="17">
        <f t="shared" si="49"/>
        <v>701.81</v>
      </c>
      <c r="AE134" s="17">
        <f t="shared" ca="1" si="50"/>
        <v>610.57469999999989</v>
      </c>
      <c r="AF134" s="17">
        <f t="shared" ca="1" si="51"/>
        <v>491.26699999999994</v>
      </c>
      <c r="AG134" s="17">
        <f t="shared" ca="1" si="52"/>
        <v>210.54300000000001</v>
      </c>
      <c r="AH134" s="15" t="str">
        <f t="shared" ca="1" si="53"/>
        <v>R$ 52,64 x 4 Parcelas</v>
      </c>
      <c r="AJ134" s="41">
        <f t="shared" si="54"/>
        <v>196.26</v>
      </c>
      <c r="AK134" s="42">
        <f t="shared" si="55"/>
        <v>701.81</v>
      </c>
      <c r="AL134" s="43">
        <f t="shared" ca="1" si="56"/>
        <v>645.66520000000003</v>
      </c>
      <c r="AM134" s="43">
        <f t="shared" ca="1" si="57"/>
        <v>421.08599999999996</v>
      </c>
      <c r="AN134" s="43">
        <f t="shared" ca="1" si="58"/>
        <v>449.40520000000004</v>
      </c>
      <c r="AO134" s="44" t="str">
        <f t="shared" ca="1" si="59"/>
        <v>R$ 112,35 x 4 Parcelas</v>
      </c>
    </row>
    <row r="135" spans="1:41" x14ac:dyDescent="0.3">
      <c r="A135" t="s">
        <v>343</v>
      </c>
      <c r="B135" t="s">
        <v>344</v>
      </c>
      <c r="C135" t="s">
        <v>345</v>
      </c>
      <c r="D135" t="s">
        <v>21</v>
      </c>
      <c r="E135" t="s">
        <v>342</v>
      </c>
      <c r="F135" t="s">
        <v>346</v>
      </c>
      <c r="G135" s="1">
        <v>52</v>
      </c>
      <c r="H135" t="s">
        <v>347</v>
      </c>
      <c r="I135" t="s">
        <v>29</v>
      </c>
      <c r="J135" t="s">
        <v>348</v>
      </c>
      <c r="K135" t="s">
        <v>21</v>
      </c>
      <c r="L135" t="s">
        <v>48</v>
      </c>
      <c r="M135" s="1">
        <v>10</v>
      </c>
      <c r="N135" s="4">
        <v>45046</v>
      </c>
      <c r="O135" s="2">
        <v>516.91999999999996</v>
      </c>
      <c r="P135" s="2">
        <v>179.2</v>
      </c>
      <c r="Q135" s="2">
        <v>10.34</v>
      </c>
      <c r="R135" s="2">
        <f t="shared" si="60"/>
        <v>696.11999999999989</v>
      </c>
      <c r="S135" t="s">
        <v>31</v>
      </c>
      <c r="T135" t="s">
        <v>0</v>
      </c>
      <c r="U135" s="5">
        <f t="shared" ca="1" si="43"/>
        <v>1044</v>
      </c>
      <c r="V135" s="37">
        <f t="shared" ca="1" si="42"/>
        <v>179.2</v>
      </c>
      <c r="W135" s="38">
        <f t="shared" ca="1" si="44"/>
        <v>696.11999999999989</v>
      </c>
      <c r="X135" s="38">
        <f t="shared" ca="1" si="45"/>
        <v>696.11999999999989</v>
      </c>
      <c r="Y135" s="39">
        <f t="shared" ca="1" si="40"/>
        <v>0</v>
      </c>
      <c r="Z135" s="39">
        <f t="shared" ca="1" si="46"/>
        <v>696.11999999999989</v>
      </c>
      <c r="AA135" s="40" t="str">
        <f t="shared" ca="1" si="47"/>
        <v>R$ 696,12 x 1 Parcelas</v>
      </c>
      <c r="AC135" s="17">
        <f t="shared" si="48"/>
        <v>189.56</v>
      </c>
      <c r="AD135" s="17">
        <f t="shared" si="49"/>
        <v>696.11999999999989</v>
      </c>
      <c r="AE135" s="17">
        <f t="shared" ca="1" si="50"/>
        <v>605.62439999999992</v>
      </c>
      <c r="AF135" s="17">
        <f t="shared" ca="1" si="51"/>
        <v>487.28399999999988</v>
      </c>
      <c r="AG135" s="17">
        <f t="shared" ca="1" si="52"/>
        <v>208.83600000000001</v>
      </c>
      <c r="AH135" s="15" t="str">
        <f t="shared" ca="1" si="53"/>
        <v>R$ 52,21 x 4 Parcelas</v>
      </c>
      <c r="AJ135" s="41">
        <f t="shared" si="54"/>
        <v>189.56</v>
      </c>
      <c r="AK135" s="42">
        <f t="shared" si="55"/>
        <v>696.11999999999989</v>
      </c>
      <c r="AL135" s="43">
        <f t="shared" ca="1" si="56"/>
        <v>640.43039999999996</v>
      </c>
      <c r="AM135" s="43">
        <f t="shared" ca="1" si="57"/>
        <v>417.67199999999991</v>
      </c>
      <c r="AN135" s="43">
        <f t="shared" ca="1" si="58"/>
        <v>450.87039999999996</v>
      </c>
      <c r="AO135" s="44" t="str">
        <f t="shared" ca="1" si="59"/>
        <v>R$ 112,72 x 4 Parcelas</v>
      </c>
    </row>
    <row r="136" spans="1:41" x14ac:dyDescent="0.3">
      <c r="A136" t="s">
        <v>343</v>
      </c>
      <c r="B136" t="s">
        <v>344</v>
      </c>
      <c r="C136" t="s">
        <v>345</v>
      </c>
      <c r="D136" t="s">
        <v>21</v>
      </c>
      <c r="E136" t="s">
        <v>342</v>
      </c>
      <c r="F136" t="s">
        <v>346</v>
      </c>
      <c r="G136" s="1">
        <v>52</v>
      </c>
      <c r="H136" t="s">
        <v>347</v>
      </c>
      <c r="I136" t="s">
        <v>29</v>
      </c>
      <c r="J136" t="s">
        <v>348</v>
      </c>
      <c r="K136" t="s">
        <v>21</v>
      </c>
      <c r="L136" t="s">
        <v>48</v>
      </c>
      <c r="M136" s="1">
        <v>11</v>
      </c>
      <c r="N136" s="4">
        <v>45076</v>
      </c>
      <c r="O136" s="2">
        <v>516.91999999999996</v>
      </c>
      <c r="P136" s="2">
        <v>174.37</v>
      </c>
      <c r="Q136" s="2">
        <v>10.34</v>
      </c>
      <c r="R136" s="2">
        <f t="shared" si="60"/>
        <v>691.29</v>
      </c>
      <c r="S136" t="s">
        <v>31</v>
      </c>
      <c r="T136" t="s">
        <v>0</v>
      </c>
      <c r="U136" s="5">
        <f t="shared" ca="1" si="43"/>
        <v>1014</v>
      </c>
      <c r="V136" s="37">
        <f t="shared" ca="1" si="42"/>
        <v>174.37</v>
      </c>
      <c r="W136" s="38">
        <f t="shared" ca="1" si="44"/>
        <v>691.29</v>
      </c>
      <c r="X136" s="38">
        <f t="shared" ca="1" si="45"/>
        <v>691.29</v>
      </c>
      <c r="Y136" s="39">
        <f t="shared" ca="1" si="40"/>
        <v>0</v>
      </c>
      <c r="Z136" s="39">
        <f t="shared" ca="1" si="46"/>
        <v>691.29</v>
      </c>
      <c r="AA136" s="40" t="str">
        <f t="shared" ca="1" si="47"/>
        <v>R$ 691,29 x 1 Parcelas</v>
      </c>
      <c r="AC136" s="17">
        <f t="shared" si="48"/>
        <v>185.4</v>
      </c>
      <c r="AD136" s="17">
        <f t="shared" si="49"/>
        <v>691.29</v>
      </c>
      <c r="AE136" s="17">
        <f t="shared" ca="1" si="50"/>
        <v>601.42229999999995</v>
      </c>
      <c r="AF136" s="17">
        <f t="shared" ca="1" si="51"/>
        <v>483.90299999999996</v>
      </c>
      <c r="AG136" s="17">
        <f t="shared" ca="1" si="52"/>
        <v>207.387</v>
      </c>
      <c r="AH136" s="15" t="str">
        <f t="shared" ca="1" si="53"/>
        <v>R$ 51,85 x 4 Parcelas</v>
      </c>
      <c r="AJ136" s="41">
        <f t="shared" si="54"/>
        <v>185.4</v>
      </c>
      <c r="AK136" s="42">
        <f t="shared" si="55"/>
        <v>691.29</v>
      </c>
      <c r="AL136" s="43">
        <f t="shared" ca="1" si="56"/>
        <v>635.98680000000002</v>
      </c>
      <c r="AM136" s="43">
        <f t="shared" ca="1" si="57"/>
        <v>414.77399999999994</v>
      </c>
      <c r="AN136" s="43">
        <f t="shared" ca="1" si="58"/>
        <v>450.58680000000004</v>
      </c>
      <c r="AO136" s="44" t="str">
        <f t="shared" ca="1" si="59"/>
        <v>R$ 112,65 x 4 Parcelas</v>
      </c>
    </row>
    <row r="137" spans="1:41" x14ac:dyDescent="0.3">
      <c r="A137" t="s">
        <v>349</v>
      </c>
      <c r="B137" t="s">
        <v>351</v>
      </c>
      <c r="C137" t="s">
        <v>352</v>
      </c>
      <c r="D137" t="s">
        <v>21</v>
      </c>
      <c r="E137" t="s">
        <v>350</v>
      </c>
      <c r="F137" t="s">
        <v>353</v>
      </c>
      <c r="G137" s="1">
        <v>1870</v>
      </c>
      <c r="H137" t="s">
        <v>354</v>
      </c>
      <c r="I137" t="s">
        <v>29</v>
      </c>
      <c r="J137" t="s">
        <v>355</v>
      </c>
      <c r="K137" t="s">
        <v>21</v>
      </c>
      <c r="L137" t="s">
        <v>48</v>
      </c>
      <c r="M137" s="1">
        <v>1</v>
      </c>
      <c r="N137" s="4">
        <v>45092</v>
      </c>
      <c r="O137" s="2">
        <v>551.33000000000004</v>
      </c>
      <c r="P137" s="2">
        <v>549.12</v>
      </c>
      <c r="Q137" s="2">
        <v>11.03</v>
      </c>
      <c r="R137" s="2">
        <f t="shared" si="60"/>
        <v>1100.45</v>
      </c>
      <c r="S137" t="s">
        <v>356</v>
      </c>
      <c r="T137" t="s">
        <v>0</v>
      </c>
      <c r="U137" s="5">
        <f t="shared" ca="1" si="43"/>
        <v>998</v>
      </c>
      <c r="V137" s="37">
        <f t="shared" ca="1" si="42"/>
        <v>549.12</v>
      </c>
      <c r="W137" s="38">
        <f t="shared" ca="1" si="44"/>
        <v>1100.45</v>
      </c>
      <c r="X137" s="38">
        <f t="shared" ca="1" si="45"/>
        <v>1100.45</v>
      </c>
      <c r="Y137" s="39">
        <f t="shared" ca="1" si="40"/>
        <v>0</v>
      </c>
      <c r="Z137" s="39">
        <f t="shared" ca="1" si="46"/>
        <v>1100.45</v>
      </c>
      <c r="AA137" s="40" t="str">
        <f t="shared" ca="1" si="47"/>
        <v>R$ 1.100,45 x 1 Parcelas</v>
      </c>
      <c r="AC137" s="17">
        <f t="shared" si="48"/>
        <v>560.49</v>
      </c>
      <c r="AD137" s="17">
        <f t="shared" si="49"/>
        <v>1100.45</v>
      </c>
      <c r="AE137" s="17">
        <f t="shared" ca="1" si="50"/>
        <v>957.39150000000006</v>
      </c>
      <c r="AF137" s="17">
        <f t="shared" ca="1" si="51"/>
        <v>770.31499999999994</v>
      </c>
      <c r="AG137" s="17">
        <f t="shared" ca="1" si="52"/>
        <v>330.1350000000001</v>
      </c>
      <c r="AH137" s="15" t="str">
        <f t="shared" ca="1" si="53"/>
        <v>R$ 82,53 x 4 Parcelas</v>
      </c>
      <c r="AJ137" s="41">
        <f t="shared" si="54"/>
        <v>560.49</v>
      </c>
      <c r="AK137" s="42">
        <f t="shared" si="55"/>
        <v>1100.45</v>
      </c>
      <c r="AL137" s="43">
        <f t="shared" ca="1" si="56"/>
        <v>1012.4140000000001</v>
      </c>
      <c r="AM137" s="43">
        <f t="shared" ca="1" si="57"/>
        <v>660.27</v>
      </c>
      <c r="AN137" s="43">
        <f t="shared" ca="1" si="58"/>
        <v>451.92400000000009</v>
      </c>
      <c r="AO137" s="44" t="str">
        <f t="shared" ca="1" si="59"/>
        <v>R$ 112,98 x 4 Parcelas</v>
      </c>
    </row>
    <row r="138" spans="1:41" x14ac:dyDescent="0.3">
      <c r="A138" t="s">
        <v>343</v>
      </c>
      <c r="B138" t="s">
        <v>344</v>
      </c>
      <c r="C138" t="s">
        <v>345</v>
      </c>
      <c r="D138" t="s">
        <v>21</v>
      </c>
      <c r="E138" t="s">
        <v>342</v>
      </c>
      <c r="F138" t="s">
        <v>346</v>
      </c>
      <c r="G138" s="1">
        <v>52</v>
      </c>
      <c r="H138" t="s">
        <v>347</v>
      </c>
      <c r="I138" t="s">
        <v>29</v>
      </c>
      <c r="J138" t="s">
        <v>348</v>
      </c>
      <c r="K138" t="s">
        <v>21</v>
      </c>
      <c r="L138" t="s">
        <v>48</v>
      </c>
      <c r="M138" s="1">
        <v>12</v>
      </c>
      <c r="N138" s="4">
        <v>45107</v>
      </c>
      <c r="O138" s="2">
        <v>516.91999999999996</v>
      </c>
      <c r="P138" s="2">
        <v>169.03</v>
      </c>
      <c r="Q138" s="2">
        <v>10.34</v>
      </c>
      <c r="R138" s="2">
        <f t="shared" si="60"/>
        <v>685.94999999999993</v>
      </c>
      <c r="S138" t="s">
        <v>31</v>
      </c>
      <c r="T138" t="s">
        <v>0</v>
      </c>
      <c r="U138" s="5">
        <f t="shared" ca="1" si="43"/>
        <v>983</v>
      </c>
      <c r="V138" s="37">
        <f t="shared" ca="1" si="42"/>
        <v>169.03</v>
      </c>
      <c r="W138" s="38">
        <f t="shared" ca="1" si="44"/>
        <v>685.94999999999993</v>
      </c>
      <c r="X138" s="38">
        <f t="shared" ca="1" si="45"/>
        <v>685.94999999999993</v>
      </c>
      <c r="Y138" s="39">
        <f t="shared" ca="1" si="40"/>
        <v>0</v>
      </c>
      <c r="Z138" s="39">
        <f t="shared" ca="1" si="46"/>
        <v>685.94999999999993</v>
      </c>
      <c r="AA138" s="40" t="str">
        <f t="shared" ca="1" si="47"/>
        <v>R$ 685,95 x 1 Parcelas</v>
      </c>
      <c r="AC138" s="17">
        <f t="shared" si="48"/>
        <v>180.06</v>
      </c>
      <c r="AD138" s="17">
        <f t="shared" si="49"/>
        <v>685.94999999999993</v>
      </c>
      <c r="AE138" s="17">
        <f t="shared" ca="1" si="50"/>
        <v>596.77649999999994</v>
      </c>
      <c r="AF138" s="17">
        <f t="shared" ca="1" si="51"/>
        <v>480.16499999999991</v>
      </c>
      <c r="AG138" s="17">
        <f t="shared" ca="1" si="52"/>
        <v>205.78500000000003</v>
      </c>
      <c r="AH138" s="15" t="str">
        <f t="shared" ca="1" si="53"/>
        <v>R$ 51,45 x 4 Parcelas</v>
      </c>
      <c r="AJ138" s="41">
        <f t="shared" si="54"/>
        <v>180.06</v>
      </c>
      <c r="AK138" s="42">
        <f t="shared" si="55"/>
        <v>685.94999999999993</v>
      </c>
      <c r="AL138" s="43">
        <f t="shared" ca="1" si="56"/>
        <v>631.07399999999996</v>
      </c>
      <c r="AM138" s="43">
        <f t="shared" ca="1" si="57"/>
        <v>411.56999999999994</v>
      </c>
      <c r="AN138" s="43">
        <f t="shared" ca="1" si="58"/>
        <v>451.01399999999995</v>
      </c>
      <c r="AO138" s="44" t="str">
        <f t="shared" ca="1" si="59"/>
        <v>R$ 112,75 x 4 Parcelas</v>
      </c>
    </row>
    <row r="139" spans="1:41" x14ac:dyDescent="0.3">
      <c r="A139" t="s">
        <v>349</v>
      </c>
      <c r="B139" t="s">
        <v>351</v>
      </c>
      <c r="C139" t="s">
        <v>352</v>
      </c>
      <c r="D139" t="s">
        <v>21</v>
      </c>
      <c r="E139" t="s">
        <v>350</v>
      </c>
      <c r="F139" t="s">
        <v>353</v>
      </c>
      <c r="G139" s="1">
        <v>1870</v>
      </c>
      <c r="H139" t="s">
        <v>354</v>
      </c>
      <c r="I139" t="s">
        <v>29</v>
      </c>
      <c r="J139" t="s">
        <v>355</v>
      </c>
      <c r="K139" t="s">
        <v>21</v>
      </c>
      <c r="L139" t="s">
        <v>48</v>
      </c>
      <c r="M139" s="1">
        <v>2</v>
      </c>
      <c r="N139" s="4">
        <v>45112</v>
      </c>
      <c r="O139" s="2">
        <v>551.29</v>
      </c>
      <c r="P139" s="2">
        <v>538.05999999999995</v>
      </c>
      <c r="Q139" s="2">
        <v>11.03</v>
      </c>
      <c r="R139" s="2">
        <f t="shared" si="60"/>
        <v>1089.3499999999999</v>
      </c>
      <c r="S139" t="s">
        <v>356</v>
      </c>
      <c r="T139" t="s">
        <v>0</v>
      </c>
      <c r="U139" s="5">
        <f t="shared" ca="1" si="43"/>
        <v>978</v>
      </c>
      <c r="V139" s="37">
        <f t="shared" ca="1" si="42"/>
        <v>538.05999999999995</v>
      </c>
      <c r="W139" s="38">
        <f t="shared" ca="1" si="44"/>
        <v>1089.3499999999999</v>
      </c>
      <c r="X139" s="38">
        <f t="shared" ca="1" si="45"/>
        <v>1089.3499999999999</v>
      </c>
      <c r="Y139" s="39">
        <f t="shared" ca="1" si="40"/>
        <v>0</v>
      </c>
      <c r="Z139" s="39">
        <f t="shared" ca="1" si="46"/>
        <v>1089.3499999999999</v>
      </c>
      <c r="AA139" s="40" t="str">
        <f t="shared" ca="1" si="47"/>
        <v>R$ 1.089,35 x 1 Parcelas</v>
      </c>
      <c r="AC139" s="17">
        <f t="shared" si="48"/>
        <v>549.42999999999995</v>
      </c>
      <c r="AD139" s="17">
        <f t="shared" si="49"/>
        <v>1089.3499999999999</v>
      </c>
      <c r="AE139" s="17">
        <f t="shared" ca="1" si="50"/>
        <v>947.73449999999991</v>
      </c>
      <c r="AF139" s="17">
        <f t="shared" ca="1" si="51"/>
        <v>762.54499999999985</v>
      </c>
      <c r="AG139" s="17">
        <f t="shared" ca="1" si="52"/>
        <v>326.80500000000006</v>
      </c>
      <c r="AH139" s="15" t="str">
        <f t="shared" ca="1" si="53"/>
        <v>R$ 81,70 x 4 Parcelas</v>
      </c>
      <c r="AJ139" s="41">
        <f t="shared" si="54"/>
        <v>549.42999999999995</v>
      </c>
      <c r="AK139" s="42">
        <f t="shared" si="55"/>
        <v>1089.3499999999999</v>
      </c>
      <c r="AL139" s="43">
        <f t="shared" ca="1" si="56"/>
        <v>1002.202</v>
      </c>
      <c r="AM139" s="43">
        <f t="shared" ca="1" si="57"/>
        <v>653.6099999999999</v>
      </c>
      <c r="AN139" s="43">
        <f t="shared" ca="1" si="58"/>
        <v>452.77200000000005</v>
      </c>
      <c r="AO139" s="44" t="str">
        <f t="shared" ca="1" si="59"/>
        <v>R$ 113,19 x 4 Parcelas</v>
      </c>
    </row>
    <row r="140" spans="1:41" x14ac:dyDescent="0.3">
      <c r="A140" t="s">
        <v>349</v>
      </c>
      <c r="B140" t="s">
        <v>351</v>
      </c>
      <c r="C140" t="s">
        <v>352</v>
      </c>
      <c r="D140" t="s">
        <v>21</v>
      </c>
      <c r="E140" t="s">
        <v>350</v>
      </c>
      <c r="F140" t="s">
        <v>353</v>
      </c>
      <c r="G140" s="1">
        <v>1870</v>
      </c>
      <c r="H140" t="s">
        <v>354</v>
      </c>
      <c r="I140" t="s">
        <v>29</v>
      </c>
      <c r="J140" t="s">
        <v>355</v>
      </c>
      <c r="K140" t="s">
        <v>21</v>
      </c>
      <c r="L140" t="s">
        <v>48</v>
      </c>
      <c r="M140" s="1">
        <v>3</v>
      </c>
      <c r="N140" s="4">
        <v>45143</v>
      </c>
      <c r="O140" s="2">
        <v>551.29</v>
      </c>
      <c r="P140" s="2">
        <v>519.87</v>
      </c>
      <c r="Q140" s="2">
        <v>11.03</v>
      </c>
      <c r="R140" s="2">
        <f t="shared" si="60"/>
        <v>1071.1599999999999</v>
      </c>
      <c r="S140" t="s">
        <v>356</v>
      </c>
      <c r="T140" t="s">
        <v>0</v>
      </c>
      <c r="U140" s="5">
        <f t="shared" ca="1" si="43"/>
        <v>947</v>
      </c>
      <c r="V140" s="37">
        <f t="shared" ca="1" si="42"/>
        <v>519.87</v>
      </c>
      <c r="W140" s="38">
        <f t="shared" ca="1" si="44"/>
        <v>1071.1599999999999</v>
      </c>
      <c r="X140" s="38">
        <f t="shared" ca="1" si="45"/>
        <v>1071.1599999999999</v>
      </c>
      <c r="Y140" s="39">
        <f t="shared" ca="1" si="40"/>
        <v>0</v>
      </c>
      <c r="Z140" s="39">
        <f t="shared" ca="1" si="46"/>
        <v>1071.1599999999999</v>
      </c>
      <c r="AA140" s="40" t="str">
        <f t="shared" ca="1" si="47"/>
        <v>R$ 1.071,16 x 1 Parcelas</v>
      </c>
      <c r="AC140" s="17">
        <f t="shared" si="48"/>
        <v>530.9</v>
      </c>
      <c r="AD140" s="17">
        <f t="shared" si="49"/>
        <v>1071.1599999999999</v>
      </c>
      <c r="AE140" s="17">
        <f t="shared" ca="1" si="50"/>
        <v>931.90919999999983</v>
      </c>
      <c r="AF140" s="17">
        <f t="shared" ca="1" si="51"/>
        <v>749.8119999999999</v>
      </c>
      <c r="AG140" s="17">
        <f t="shared" ca="1" si="52"/>
        <v>321.34799999999996</v>
      </c>
      <c r="AH140" s="15" t="str">
        <f t="shared" ca="1" si="53"/>
        <v>R$ 80,34 x 4 Parcelas</v>
      </c>
      <c r="AJ140" s="41">
        <f t="shared" si="54"/>
        <v>530.9</v>
      </c>
      <c r="AK140" s="42">
        <f t="shared" si="55"/>
        <v>1071.1599999999999</v>
      </c>
      <c r="AL140" s="43">
        <f t="shared" ca="1" si="56"/>
        <v>985.46719999999993</v>
      </c>
      <c r="AM140" s="43">
        <f t="shared" ca="1" si="57"/>
        <v>642.69599999999991</v>
      </c>
      <c r="AN140" s="43">
        <f t="shared" ca="1" si="58"/>
        <v>454.56719999999996</v>
      </c>
      <c r="AO140" s="44" t="str">
        <f t="shared" ca="1" si="59"/>
        <v>R$ 113,64 x 4 Parcelas</v>
      </c>
    </row>
    <row r="141" spans="1:41" x14ac:dyDescent="0.3">
      <c r="A141" t="s">
        <v>357</v>
      </c>
      <c r="B141" t="s">
        <v>359</v>
      </c>
      <c r="C141" t="s">
        <v>360</v>
      </c>
      <c r="D141" t="s">
        <v>21</v>
      </c>
      <c r="E141" t="s">
        <v>358</v>
      </c>
      <c r="F141" t="s">
        <v>361</v>
      </c>
      <c r="G141" s="1">
        <v>312</v>
      </c>
      <c r="H141" t="s">
        <v>257</v>
      </c>
      <c r="I141" t="s">
        <v>29</v>
      </c>
      <c r="J141" t="s">
        <v>362</v>
      </c>
      <c r="K141" t="s">
        <v>363</v>
      </c>
      <c r="L141" t="s">
        <v>48</v>
      </c>
      <c r="M141" s="1">
        <v>8</v>
      </c>
      <c r="N141" s="4">
        <v>45174</v>
      </c>
      <c r="O141" s="2">
        <v>533.97</v>
      </c>
      <c r="P141" s="2">
        <v>488.05</v>
      </c>
      <c r="Q141" s="2">
        <v>10.68</v>
      </c>
      <c r="R141" s="2">
        <f t="shared" si="60"/>
        <v>1022.02</v>
      </c>
      <c r="S141" t="s">
        <v>31</v>
      </c>
      <c r="T141" t="s">
        <v>0</v>
      </c>
      <c r="U141" s="5">
        <f t="shared" ca="1" si="43"/>
        <v>916</v>
      </c>
      <c r="V141" s="37">
        <f t="shared" ca="1" si="42"/>
        <v>488.05</v>
      </c>
      <c r="W141" s="38">
        <f t="shared" ca="1" si="44"/>
        <v>1022.02</v>
      </c>
      <c r="X141" s="38">
        <f t="shared" ca="1" si="45"/>
        <v>1022.02</v>
      </c>
      <c r="Y141" s="39">
        <f t="shared" ca="1" si="40"/>
        <v>0</v>
      </c>
      <c r="Z141" s="39">
        <f t="shared" ca="1" si="46"/>
        <v>1022.02</v>
      </c>
      <c r="AA141" s="40" t="str">
        <f t="shared" ca="1" si="47"/>
        <v>R$ 1.022,02 x 1 Parcelas</v>
      </c>
      <c r="AC141" s="17">
        <f t="shared" si="48"/>
        <v>499.42</v>
      </c>
      <c r="AD141" s="17">
        <f t="shared" si="49"/>
        <v>1022.02</v>
      </c>
      <c r="AE141" s="17">
        <f t="shared" ca="1" si="50"/>
        <v>889.15739999999994</v>
      </c>
      <c r="AF141" s="17">
        <f t="shared" ca="1" si="51"/>
        <v>715.41399999999999</v>
      </c>
      <c r="AG141" s="17">
        <f t="shared" ca="1" si="52"/>
        <v>306.60599999999999</v>
      </c>
      <c r="AH141" s="15" t="str">
        <f t="shared" ca="1" si="53"/>
        <v>R$ 76,65 x 4 Parcelas</v>
      </c>
      <c r="AJ141" s="41">
        <f t="shared" si="54"/>
        <v>499.42</v>
      </c>
      <c r="AK141" s="42">
        <f t="shared" si="55"/>
        <v>1022.02</v>
      </c>
      <c r="AL141" s="43">
        <f t="shared" ca="1" si="56"/>
        <v>940.25840000000005</v>
      </c>
      <c r="AM141" s="43">
        <f t="shared" ca="1" si="57"/>
        <v>613.21199999999999</v>
      </c>
      <c r="AN141" s="43">
        <f t="shared" ca="1" si="58"/>
        <v>440.83840000000004</v>
      </c>
      <c r="AO141" s="44" t="str">
        <f t="shared" ca="1" si="59"/>
        <v>R$ 110,21 x 4 Parcelas</v>
      </c>
    </row>
    <row r="142" spans="1:41" x14ac:dyDescent="0.3">
      <c r="A142" t="s">
        <v>349</v>
      </c>
      <c r="B142" t="s">
        <v>351</v>
      </c>
      <c r="C142" t="s">
        <v>352</v>
      </c>
      <c r="D142" t="s">
        <v>21</v>
      </c>
      <c r="E142" t="s">
        <v>350</v>
      </c>
      <c r="F142" t="s">
        <v>353</v>
      </c>
      <c r="G142" s="1">
        <v>1870</v>
      </c>
      <c r="H142" t="s">
        <v>354</v>
      </c>
      <c r="I142" t="s">
        <v>29</v>
      </c>
      <c r="J142" t="s">
        <v>355</v>
      </c>
      <c r="K142" t="s">
        <v>21</v>
      </c>
      <c r="L142" t="s">
        <v>48</v>
      </c>
      <c r="M142" s="1">
        <v>4</v>
      </c>
      <c r="N142" s="4">
        <v>45174</v>
      </c>
      <c r="O142" s="2">
        <v>551.29</v>
      </c>
      <c r="P142" s="2">
        <v>503.88</v>
      </c>
      <c r="Q142" s="2">
        <v>11.03</v>
      </c>
      <c r="R142" s="2">
        <f t="shared" si="60"/>
        <v>1055.17</v>
      </c>
      <c r="S142" t="s">
        <v>356</v>
      </c>
      <c r="T142" t="s">
        <v>0</v>
      </c>
      <c r="U142" s="5">
        <f t="shared" ca="1" si="43"/>
        <v>916</v>
      </c>
      <c r="V142" s="37">
        <f t="shared" ca="1" si="42"/>
        <v>503.88</v>
      </c>
      <c r="W142" s="38">
        <f t="shared" ca="1" si="44"/>
        <v>1055.17</v>
      </c>
      <c r="X142" s="38">
        <f t="shared" ca="1" si="45"/>
        <v>1055.17</v>
      </c>
      <c r="Y142" s="39">
        <f t="shared" ca="1" si="40"/>
        <v>0</v>
      </c>
      <c r="Z142" s="39">
        <f t="shared" ca="1" si="46"/>
        <v>1055.17</v>
      </c>
      <c r="AA142" s="40" t="str">
        <f t="shared" ca="1" si="47"/>
        <v>R$ 1.055,17 x 1 Parcelas</v>
      </c>
      <c r="AC142" s="17">
        <f t="shared" si="48"/>
        <v>515.25</v>
      </c>
      <c r="AD142" s="17">
        <f t="shared" si="49"/>
        <v>1055.17</v>
      </c>
      <c r="AE142" s="17">
        <f t="shared" ca="1" si="50"/>
        <v>917.99790000000007</v>
      </c>
      <c r="AF142" s="17">
        <f t="shared" ca="1" si="51"/>
        <v>738.61900000000003</v>
      </c>
      <c r="AG142" s="17">
        <f t="shared" ca="1" si="52"/>
        <v>316.55100000000004</v>
      </c>
      <c r="AH142" s="15" t="str">
        <f t="shared" ca="1" si="53"/>
        <v>R$ 79,14 x 4 Parcelas</v>
      </c>
      <c r="AJ142" s="41">
        <f t="shared" si="54"/>
        <v>515.25</v>
      </c>
      <c r="AK142" s="42">
        <f t="shared" si="55"/>
        <v>1055.17</v>
      </c>
      <c r="AL142" s="43">
        <f t="shared" ca="1" si="56"/>
        <v>970.7564000000001</v>
      </c>
      <c r="AM142" s="43">
        <f t="shared" ca="1" si="57"/>
        <v>633.10199999999998</v>
      </c>
      <c r="AN142" s="43">
        <f t="shared" ca="1" si="58"/>
        <v>455.5064000000001</v>
      </c>
      <c r="AO142" s="44" t="str">
        <f t="shared" ca="1" si="59"/>
        <v>R$ 113,88 x 4 Parcelas</v>
      </c>
    </row>
    <row r="143" spans="1:41" x14ac:dyDescent="0.3">
      <c r="A143" t="s">
        <v>349</v>
      </c>
      <c r="B143" t="s">
        <v>351</v>
      </c>
      <c r="C143" t="s">
        <v>352</v>
      </c>
      <c r="D143" t="s">
        <v>21</v>
      </c>
      <c r="E143" t="s">
        <v>350</v>
      </c>
      <c r="F143" t="s">
        <v>353</v>
      </c>
      <c r="G143" s="1">
        <v>1870</v>
      </c>
      <c r="H143" t="s">
        <v>354</v>
      </c>
      <c r="I143" t="s">
        <v>29</v>
      </c>
      <c r="J143" t="s">
        <v>355</v>
      </c>
      <c r="K143" t="s">
        <v>21</v>
      </c>
      <c r="L143" t="s">
        <v>48</v>
      </c>
      <c r="M143" s="1">
        <v>5</v>
      </c>
      <c r="N143" s="4">
        <v>45204</v>
      </c>
      <c r="O143" s="2">
        <v>551.29</v>
      </c>
      <c r="P143" s="2">
        <v>487.34</v>
      </c>
      <c r="Q143" s="2">
        <v>11.03</v>
      </c>
      <c r="R143" s="2">
        <f t="shared" si="60"/>
        <v>1038.6299999999999</v>
      </c>
      <c r="S143" t="s">
        <v>356</v>
      </c>
      <c r="T143" t="s">
        <v>0</v>
      </c>
      <c r="U143" s="5">
        <f t="shared" ca="1" si="43"/>
        <v>886</v>
      </c>
      <c r="V143" s="37">
        <f t="shared" ca="1" si="42"/>
        <v>487.34</v>
      </c>
      <c r="W143" s="38">
        <f t="shared" ca="1" si="44"/>
        <v>1038.6299999999999</v>
      </c>
      <c r="X143" s="38">
        <f t="shared" ca="1" si="45"/>
        <v>1038.6299999999999</v>
      </c>
      <c r="Y143" s="39">
        <f t="shared" ca="1" si="40"/>
        <v>0</v>
      </c>
      <c r="Z143" s="39">
        <f t="shared" ca="1" si="46"/>
        <v>1038.6299999999999</v>
      </c>
      <c r="AA143" s="40" t="str">
        <f t="shared" ca="1" si="47"/>
        <v>R$ 1.038,63 x 1 Parcelas</v>
      </c>
      <c r="AC143" s="17">
        <f t="shared" si="48"/>
        <v>489.59999999999997</v>
      </c>
      <c r="AD143" s="17">
        <f t="shared" si="49"/>
        <v>1038.6299999999999</v>
      </c>
      <c r="AE143" s="17">
        <f t="shared" ca="1" si="50"/>
        <v>903.60809999999992</v>
      </c>
      <c r="AF143" s="17">
        <f t="shared" ca="1" si="51"/>
        <v>727.04099999999983</v>
      </c>
      <c r="AG143" s="17">
        <f t="shared" ca="1" si="52"/>
        <v>311.58900000000006</v>
      </c>
      <c r="AH143" s="15" t="str">
        <f t="shared" ca="1" si="53"/>
        <v>R$ 77,90 x 4 Parcelas</v>
      </c>
      <c r="AJ143" s="41">
        <f t="shared" si="54"/>
        <v>489.59999999999997</v>
      </c>
      <c r="AK143" s="42">
        <f t="shared" si="55"/>
        <v>1038.6299999999999</v>
      </c>
      <c r="AL143" s="43">
        <f t="shared" ca="1" si="56"/>
        <v>955.53959999999995</v>
      </c>
      <c r="AM143" s="43">
        <f t="shared" ca="1" si="57"/>
        <v>623.17799999999988</v>
      </c>
      <c r="AN143" s="43">
        <f t="shared" ca="1" si="58"/>
        <v>465.93959999999998</v>
      </c>
      <c r="AO143" s="44" t="str">
        <f t="shared" ca="1" si="59"/>
        <v>R$ 116,48 x 4 Parcelas</v>
      </c>
    </row>
    <row r="144" spans="1:41" x14ac:dyDescent="0.3">
      <c r="A144" t="s">
        <v>364</v>
      </c>
      <c r="B144" t="s">
        <v>367</v>
      </c>
      <c r="C144" t="s">
        <v>368</v>
      </c>
      <c r="D144" t="s">
        <v>365</v>
      </c>
      <c r="E144" t="s">
        <v>366</v>
      </c>
      <c r="F144" t="s">
        <v>369</v>
      </c>
      <c r="G144" s="1">
        <v>725</v>
      </c>
      <c r="H144" t="s">
        <v>370</v>
      </c>
      <c r="I144" t="s">
        <v>29</v>
      </c>
      <c r="J144" t="s">
        <v>371</v>
      </c>
      <c r="K144" t="s">
        <v>372</v>
      </c>
      <c r="L144" t="s">
        <v>48</v>
      </c>
      <c r="M144" s="1">
        <v>3</v>
      </c>
      <c r="N144" s="4">
        <v>45204</v>
      </c>
      <c r="O144" s="2">
        <v>568.62</v>
      </c>
      <c r="P144" s="2">
        <v>502.66</v>
      </c>
      <c r="Q144" s="2">
        <v>11.37</v>
      </c>
      <c r="R144" s="2">
        <f t="shared" si="60"/>
        <v>1071.28</v>
      </c>
      <c r="S144" t="s">
        <v>356</v>
      </c>
      <c r="T144" t="s">
        <v>0</v>
      </c>
      <c r="U144" s="5">
        <f t="shared" ca="1" si="43"/>
        <v>886</v>
      </c>
      <c r="V144" s="37">
        <f t="shared" ca="1" si="42"/>
        <v>502.66</v>
      </c>
      <c r="W144" s="38">
        <f t="shared" ca="1" si="44"/>
        <v>1071.28</v>
      </c>
      <c r="X144" s="38">
        <f t="shared" ca="1" si="45"/>
        <v>1071.28</v>
      </c>
      <c r="Y144" s="39">
        <f t="shared" ca="1" si="40"/>
        <v>0</v>
      </c>
      <c r="Z144" s="39">
        <f t="shared" ca="1" si="46"/>
        <v>1071.28</v>
      </c>
      <c r="AA144" s="40" t="str">
        <f t="shared" ca="1" si="47"/>
        <v>R$ 1.071,28 x 1 Parcelas</v>
      </c>
      <c r="AC144" s="17">
        <f t="shared" si="48"/>
        <v>514.03</v>
      </c>
      <c r="AD144" s="17">
        <f t="shared" si="49"/>
        <v>1071.28</v>
      </c>
      <c r="AE144" s="17">
        <f t="shared" ca="1" si="50"/>
        <v>932.0136</v>
      </c>
      <c r="AF144" s="17">
        <f t="shared" ca="1" si="51"/>
        <v>749.89599999999996</v>
      </c>
      <c r="AG144" s="17">
        <f t="shared" ca="1" si="52"/>
        <v>321.38400000000001</v>
      </c>
      <c r="AH144" s="15" t="str">
        <f t="shared" ca="1" si="53"/>
        <v>R$ 80,35 x 4 Parcelas</v>
      </c>
      <c r="AJ144" s="41">
        <f t="shared" si="54"/>
        <v>514.03</v>
      </c>
      <c r="AK144" s="42">
        <f t="shared" si="55"/>
        <v>1071.28</v>
      </c>
      <c r="AL144" s="43">
        <f t="shared" ca="1" si="56"/>
        <v>985.57759999999996</v>
      </c>
      <c r="AM144" s="43">
        <f t="shared" ca="1" si="57"/>
        <v>642.76799999999992</v>
      </c>
      <c r="AN144" s="43">
        <f t="shared" ca="1" si="58"/>
        <v>471.54759999999999</v>
      </c>
      <c r="AO144" s="44" t="str">
        <f t="shared" ca="1" si="59"/>
        <v>R$ 117,89 x 4 Parcelas</v>
      </c>
    </row>
    <row r="145" spans="1:41" x14ac:dyDescent="0.3">
      <c r="A145" t="s">
        <v>349</v>
      </c>
      <c r="B145" t="s">
        <v>351</v>
      </c>
      <c r="C145" t="s">
        <v>352</v>
      </c>
      <c r="D145" t="s">
        <v>21</v>
      </c>
      <c r="E145" t="s">
        <v>350</v>
      </c>
      <c r="F145" t="s">
        <v>353</v>
      </c>
      <c r="G145" s="1">
        <v>1870</v>
      </c>
      <c r="H145" t="s">
        <v>354</v>
      </c>
      <c r="I145" t="s">
        <v>29</v>
      </c>
      <c r="J145" t="s">
        <v>355</v>
      </c>
      <c r="K145" t="s">
        <v>21</v>
      </c>
      <c r="L145" t="s">
        <v>48</v>
      </c>
      <c r="M145" s="1">
        <v>6</v>
      </c>
      <c r="N145" s="4">
        <v>45235</v>
      </c>
      <c r="O145" s="2">
        <v>551.29</v>
      </c>
      <c r="P145" s="2">
        <v>469.7</v>
      </c>
      <c r="Q145" s="2">
        <v>11.03</v>
      </c>
      <c r="R145" s="2">
        <f t="shared" si="60"/>
        <v>1020.99</v>
      </c>
      <c r="S145" t="s">
        <v>356</v>
      </c>
      <c r="T145" t="s">
        <v>0</v>
      </c>
      <c r="U145" s="5">
        <f t="shared" ca="1" si="43"/>
        <v>855</v>
      </c>
      <c r="V145" s="37">
        <f t="shared" ca="1" si="42"/>
        <v>469.7</v>
      </c>
      <c r="W145" s="38">
        <f t="shared" ca="1" si="44"/>
        <v>1020.99</v>
      </c>
      <c r="X145" s="38">
        <f t="shared" ca="1" si="45"/>
        <v>1020.99</v>
      </c>
      <c r="Y145" s="39">
        <f t="shared" ca="1" si="40"/>
        <v>0</v>
      </c>
      <c r="Z145" s="39">
        <f t="shared" ca="1" si="46"/>
        <v>1020.99</v>
      </c>
      <c r="AA145" s="40" t="str">
        <f t="shared" ca="1" si="47"/>
        <v>R$ 1.020,99 x 1 Parcelas</v>
      </c>
      <c r="AC145" s="17">
        <f t="shared" si="48"/>
        <v>472.14</v>
      </c>
      <c r="AD145" s="17">
        <f t="shared" si="49"/>
        <v>1020.99</v>
      </c>
      <c r="AE145" s="17">
        <f t="shared" ca="1" si="50"/>
        <v>888.26130000000001</v>
      </c>
      <c r="AF145" s="17">
        <f t="shared" ca="1" si="51"/>
        <v>714.69299999999998</v>
      </c>
      <c r="AG145" s="17">
        <f t="shared" ca="1" si="52"/>
        <v>306.29700000000003</v>
      </c>
      <c r="AH145" s="15" t="str">
        <f t="shared" ca="1" si="53"/>
        <v>R$ 76,57 x 4 Parcelas</v>
      </c>
      <c r="AJ145" s="41">
        <f t="shared" si="54"/>
        <v>472.14</v>
      </c>
      <c r="AK145" s="42">
        <f t="shared" si="55"/>
        <v>1020.99</v>
      </c>
      <c r="AL145" s="43">
        <f t="shared" ca="1" si="56"/>
        <v>939.31080000000009</v>
      </c>
      <c r="AM145" s="43">
        <f t="shared" ca="1" si="57"/>
        <v>612.59399999999994</v>
      </c>
      <c r="AN145" s="43">
        <f t="shared" ca="1" si="58"/>
        <v>467.1708000000001</v>
      </c>
      <c r="AO145" s="44" t="str">
        <f t="shared" ca="1" si="59"/>
        <v>R$ 116,79 x 4 Parcelas</v>
      </c>
    </row>
    <row r="146" spans="1:41" x14ac:dyDescent="0.3">
      <c r="A146" t="s">
        <v>373</v>
      </c>
      <c r="B146" t="s">
        <v>375</v>
      </c>
      <c r="C146" t="s">
        <v>376</v>
      </c>
      <c r="D146" t="s">
        <v>21</v>
      </c>
      <c r="E146" t="s">
        <v>374</v>
      </c>
      <c r="F146" t="s">
        <v>377</v>
      </c>
      <c r="G146" s="1">
        <v>2217</v>
      </c>
      <c r="H146" t="s">
        <v>378</v>
      </c>
      <c r="I146" t="s">
        <v>29</v>
      </c>
      <c r="J146" t="s">
        <v>379</v>
      </c>
      <c r="K146" t="s">
        <v>67</v>
      </c>
      <c r="L146" t="s">
        <v>48</v>
      </c>
      <c r="M146" s="1">
        <v>9</v>
      </c>
      <c r="N146" s="4">
        <v>45245</v>
      </c>
      <c r="O146" s="2">
        <v>518.08000000000004</v>
      </c>
      <c r="P146" s="2">
        <v>436.22</v>
      </c>
      <c r="Q146" s="2">
        <v>10.36</v>
      </c>
      <c r="R146" s="2">
        <f t="shared" si="60"/>
        <v>954.30000000000007</v>
      </c>
      <c r="S146" t="s">
        <v>356</v>
      </c>
      <c r="T146" t="s">
        <v>0</v>
      </c>
      <c r="U146" s="5">
        <f t="shared" ca="1" si="43"/>
        <v>845</v>
      </c>
      <c r="V146" s="37">
        <f t="shared" ca="1" si="42"/>
        <v>436.22</v>
      </c>
      <c r="W146" s="38">
        <f t="shared" ca="1" si="44"/>
        <v>954.30000000000007</v>
      </c>
      <c r="X146" s="38">
        <f t="shared" ca="1" si="45"/>
        <v>954.30000000000007</v>
      </c>
      <c r="Y146" s="39">
        <f t="shared" ref="Y146:Y207" ca="1" si="61">W146 * VLOOKUP(U146, $BC$3:$BF$11, 4, TRUE)</f>
        <v>0</v>
      </c>
      <c r="Z146" s="39">
        <f t="shared" ca="1" si="46"/>
        <v>954.30000000000007</v>
      </c>
      <c r="AA146" s="40" t="str">
        <f t="shared" ca="1" si="47"/>
        <v>R$ 954,30 x 1 Parcelas</v>
      </c>
      <c r="AC146" s="17">
        <f t="shared" si="48"/>
        <v>438.48</v>
      </c>
      <c r="AD146" s="17">
        <f t="shared" si="49"/>
        <v>954.30000000000007</v>
      </c>
      <c r="AE146" s="17">
        <f t="shared" ca="1" si="50"/>
        <v>830.2410000000001</v>
      </c>
      <c r="AF146" s="17">
        <f t="shared" ca="1" si="51"/>
        <v>668.01</v>
      </c>
      <c r="AG146" s="17">
        <f t="shared" ca="1" si="52"/>
        <v>286.29000000000008</v>
      </c>
      <c r="AH146" s="15" t="str">
        <f t="shared" ca="1" si="53"/>
        <v>R$ 71,57 x 4 Parcelas</v>
      </c>
      <c r="AJ146" s="41">
        <f t="shared" si="54"/>
        <v>438.48</v>
      </c>
      <c r="AK146" s="42">
        <f t="shared" si="55"/>
        <v>954.30000000000007</v>
      </c>
      <c r="AL146" s="43">
        <f t="shared" ca="1" si="56"/>
        <v>877.95600000000013</v>
      </c>
      <c r="AM146" s="43">
        <f t="shared" ca="1" si="57"/>
        <v>572.58000000000004</v>
      </c>
      <c r="AN146" s="43">
        <f t="shared" ca="1" si="58"/>
        <v>439.47600000000011</v>
      </c>
      <c r="AO146" s="44" t="str">
        <f t="shared" ca="1" si="59"/>
        <v>R$ 109,87 x 4 Parcelas</v>
      </c>
    </row>
    <row r="147" spans="1:41" x14ac:dyDescent="0.3">
      <c r="A147" t="s">
        <v>349</v>
      </c>
      <c r="B147" t="s">
        <v>351</v>
      </c>
      <c r="C147" t="s">
        <v>352</v>
      </c>
      <c r="D147" t="s">
        <v>21</v>
      </c>
      <c r="E147" t="s">
        <v>350</v>
      </c>
      <c r="F147" t="s">
        <v>353</v>
      </c>
      <c r="G147" s="1">
        <v>1870</v>
      </c>
      <c r="H147" t="s">
        <v>354</v>
      </c>
      <c r="I147" t="s">
        <v>29</v>
      </c>
      <c r="J147" t="s">
        <v>355</v>
      </c>
      <c r="K147" t="s">
        <v>21</v>
      </c>
      <c r="L147" t="s">
        <v>48</v>
      </c>
      <c r="M147" s="1">
        <v>7</v>
      </c>
      <c r="N147" s="4">
        <v>45265</v>
      </c>
      <c r="O147" s="2">
        <v>551.29</v>
      </c>
      <c r="P147" s="2">
        <v>453.71</v>
      </c>
      <c r="Q147" s="2">
        <v>11.03</v>
      </c>
      <c r="R147" s="2">
        <f t="shared" si="60"/>
        <v>1005</v>
      </c>
      <c r="S147" t="s">
        <v>356</v>
      </c>
      <c r="T147" t="s">
        <v>0</v>
      </c>
      <c r="U147" s="5">
        <f t="shared" ca="1" si="43"/>
        <v>825</v>
      </c>
      <c r="V147" s="37">
        <f t="shared" ca="1" si="42"/>
        <v>453.71</v>
      </c>
      <c r="W147" s="38">
        <f t="shared" ca="1" si="44"/>
        <v>1005</v>
      </c>
      <c r="X147" s="38">
        <f t="shared" ca="1" si="45"/>
        <v>1005</v>
      </c>
      <c r="Y147" s="39">
        <f t="shared" ca="1" si="61"/>
        <v>0</v>
      </c>
      <c r="Z147" s="39">
        <f t="shared" ca="1" si="46"/>
        <v>1005</v>
      </c>
      <c r="AA147" s="40" t="str">
        <f t="shared" ca="1" si="47"/>
        <v>R$ 1.005,00 x 1 Parcelas</v>
      </c>
      <c r="AC147" s="17">
        <f t="shared" si="48"/>
        <v>456.15</v>
      </c>
      <c r="AD147" s="17">
        <f t="shared" si="49"/>
        <v>1005</v>
      </c>
      <c r="AE147" s="17">
        <f t="shared" ca="1" si="50"/>
        <v>874.35</v>
      </c>
      <c r="AF147" s="17">
        <f t="shared" ca="1" si="51"/>
        <v>703.5</v>
      </c>
      <c r="AG147" s="17">
        <f t="shared" ca="1" si="52"/>
        <v>301.5</v>
      </c>
      <c r="AH147" s="15" t="str">
        <f t="shared" ca="1" si="53"/>
        <v>R$ 75,38 x 4 Parcelas</v>
      </c>
      <c r="AJ147" s="41">
        <f t="shared" si="54"/>
        <v>456.15</v>
      </c>
      <c r="AK147" s="42">
        <f t="shared" si="55"/>
        <v>1005</v>
      </c>
      <c r="AL147" s="43">
        <f t="shared" ca="1" si="56"/>
        <v>924.6</v>
      </c>
      <c r="AM147" s="43">
        <f t="shared" ca="1" si="57"/>
        <v>603</v>
      </c>
      <c r="AN147" s="43">
        <f t="shared" ca="1" si="58"/>
        <v>468.45000000000005</v>
      </c>
      <c r="AO147" s="44" t="str">
        <f t="shared" ca="1" si="59"/>
        <v>R$ 117,11 x 4 Parcelas</v>
      </c>
    </row>
    <row r="148" spans="1:41" x14ac:dyDescent="0.3">
      <c r="A148" t="s">
        <v>364</v>
      </c>
      <c r="B148" t="s">
        <v>367</v>
      </c>
      <c r="C148" t="s">
        <v>368</v>
      </c>
      <c r="D148" t="s">
        <v>365</v>
      </c>
      <c r="E148" t="s">
        <v>366</v>
      </c>
      <c r="F148" t="s">
        <v>369</v>
      </c>
      <c r="G148" s="1">
        <v>725</v>
      </c>
      <c r="H148" t="s">
        <v>370</v>
      </c>
      <c r="I148" t="s">
        <v>29</v>
      </c>
      <c r="J148" t="s">
        <v>371</v>
      </c>
      <c r="K148" t="s">
        <v>372</v>
      </c>
      <c r="L148" t="s">
        <v>48</v>
      </c>
      <c r="M148" s="1">
        <v>5</v>
      </c>
      <c r="N148" s="4">
        <v>45265</v>
      </c>
      <c r="O148" s="2">
        <v>568.62</v>
      </c>
      <c r="P148" s="2">
        <v>467.97</v>
      </c>
      <c r="Q148" s="2">
        <v>11.37</v>
      </c>
      <c r="R148" s="2">
        <f t="shared" si="60"/>
        <v>1036.5900000000001</v>
      </c>
      <c r="S148" t="s">
        <v>356</v>
      </c>
      <c r="T148" t="s">
        <v>0</v>
      </c>
      <c r="U148" s="5">
        <f t="shared" ca="1" si="43"/>
        <v>825</v>
      </c>
      <c r="V148" s="37">
        <f t="shared" ca="1" si="42"/>
        <v>467.97</v>
      </c>
      <c r="W148" s="38">
        <f t="shared" ca="1" si="44"/>
        <v>1036.5900000000001</v>
      </c>
      <c r="X148" s="38">
        <f t="shared" ca="1" si="45"/>
        <v>1036.5900000000001</v>
      </c>
      <c r="Y148" s="39">
        <f t="shared" ca="1" si="61"/>
        <v>0</v>
      </c>
      <c r="Z148" s="39">
        <f t="shared" ca="1" si="46"/>
        <v>1036.5900000000001</v>
      </c>
      <c r="AA148" s="40" t="str">
        <f t="shared" ca="1" si="47"/>
        <v>R$ 1.036,59 x 1 Parcelas</v>
      </c>
      <c r="AC148" s="17">
        <f t="shared" si="48"/>
        <v>470.23</v>
      </c>
      <c r="AD148" s="17">
        <f t="shared" si="49"/>
        <v>1036.5900000000001</v>
      </c>
      <c r="AE148" s="17">
        <f t="shared" ca="1" si="50"/>
        <v>901.83330000000012</v>
      </c>
      <c r="AF148" s="17">
        <f t="shared" ca="1" si="51"/>
        <v>725.61300000000006</v>
      </c>
      <c r="AG148" s="17">
        <f t="shared" ca="1" si="52"/>
        <v>310.97700000000009</v>
      </c>
      <c r="AH148" s="15" t="str">
        <f t="shared" ca="1" si="53"/>
        <v>R$ 77,74 x 4 Parcelas</v>
      </c>
      <c r="AJ148" s="41">
        <f t="shared" si="54"/>
        <v>470.23</v>
      </c>
      <c r="AK148" s="42">
        <f t="shared" si="55"/>
        <v>1036.5900000000001</v>
      </c>
      <c r="AL148" s="43">
        <f t="shared" ca="1" si="56"/>
        <v>953.66280000000017</v>
      </c>
      <c r="AM148" s="43">
        <f t="shared" ca="1" si="57"/>
        <v>621.95400000000006</v>
      </c>
      <c r="AN148" s="43">
        <f t="shared" ca="1" si="58"/>
        <v>483.43280000000016</v>
      </c>
      <c r="AO148" s="44" t="str">
        <f t="shared" ca="1" si="59"/>
        <v>R$ 120,86 x 4 Parcelas</v>
      </c>
    </row>
    <row r="149" spans="1:41" x14ac:dyDescent="0.3">
      <c r="A149" t="s">
        <v>373</v>
      </c>
      <c r="B149" t="s">
        <v>375</v>
      </c>
      <c r="C149" t="s">
        <v>376</v>
      </c>
      <c r="D149" t="s">
        <v>21</v>
      </c>
      <c r="E149" t="s">
        <v>374</v>
      </c>
      <c r="F149" t="s">
        <v>377</v>
      </c>
      <c r="G149" s="1">
        <v>2217</v>
      </c>
      <c r="H149" t="s">
        <v>378</v>
      </c>
      <c r="I149" t="s">
        <v>29</v>
      </c>
      <c r="J149" t="s">
        <v>379</v>
      </c>
      <c r="K149" t="s">
        <v>67</v>
      </c>
      <c r="L149" t="s">
        <v>48</v>
      </c>
      <c r="M149" s="1">
        <v>10</v>
      </c>
      <c r="N149" s="4">
        <v>45275</v>
      </c>
      <c r="O149" s="2">
        <v>518.08000000000004</v>
      </c>
      <c r="P149" s="2">
        <v>421.2</v>
      </c>
      <c r="Q149" s="2">
        <v>10.36</v>
      </c>
      <c r="R149" s="2">
        <f t="shared" si="60"/>
        <v>939.28</v>
      </c>
      <c r="S149" t="s">
        <v>356</v>
      </c>
      <c r="T149" t="s">
        <v>0</v>
      </c>
      <c r="U149" s="5">
        <f t="shared" ca="1" si="43"/>
        <v>815</v>
      </c>
      <c r="V149" s="37">
        <f t="shared" ca="1" si="42"/>
        <v>421.2</v>
      </c>
      <c r="W149" s="38">
        <f t="shared" ca="1" si="44"/>
        <v>939.28</v>
      </c>
      <c r="X149" s="38">
        <f t="shared" ca="1" si="45"/>
        <v>939.28</v>
      </c>
      <c r="Y149" s="39">
        <f t="shared" ca="1" si="61"/>
        <v>0</v>
      </c>
      <c r="Z149" s="39">
        <f t="shared" ca="1" si="46"/>
        <v>939.28</v>
      </c>
      <c r="AA149" s="40" t="str">
        <f t="shared" ca="1" si="47"/>
        <v>R$ 939,28 x 1 Parcelas</v>
      </c>
      <c r="AC149" s="17">
        <f t="shared" si="48"/>
        <v>423.46</v>
      </c>
      <c r="AD149" s="17">
        <f t="shared" si="49"/>
        <v>939.28</v>
      </c>
      <c r="AE149" s="17">
        <f t="shared" ca="1" si="50"/>
        <v>817.17359999999996</v>
      </c>
      <c r="AF149" s="17">
        <f t="shared" ca="1" si="51"/>
        <v>657.49599999999998</v>
      </c>
      <c r="AG149" s="17">
        <f t="shared" ca="1" si="52"/>
        <v>281.78399999999999</v>
      </c>
      <c r="AH149" s="15" t="str">
        <f t="shared" ca="1" si="53"/>
        <v>R$ 70,45 x 4 Parcelas</v>
      </c>
      <c r="AJ149" s="41">
        <f t="shared" si="54"/>
        <v>423.46</v>
      </c>
      <c r="AK149" s="42">
        <f t="shared" si="55"/>
        <v>939.28</v>
      </c>
      <c r="AL149" s="43">
        <f t="shared" ca="1" si="56"/>
        <v>864.13760000000002</v>
      </c>
      <c r="AM149" s="43">
        <f t="shared" ca="1" si="57"/>
        <v>563.56799999999998</v>
      </c>
      <c r="AN149" s="43">
        <f t="shared" ca="1" si="58"/>
        <v>440.67760000000004</v>
      </c>
      <c r="AO149" s="44" t="str">
        <f t="shared" ca="1" si="59"/>
        <v>R$ 110,17 x 4 Parcelas</v>
      </c>
    </row>
    <row r="150" spans="1:41" x14ac:dyDescent="0.3">
      <c r="A150" t="s">
        <v>349</v>
      </c>
      <c r="B150" t="s">
        <v>351</v>
      </c>
      <c r="C150" t="s">
        <v>352</v>
      </c>
      <c r="D150" t="s">
        <v>21</v>
      </c>
      <c r="E150" t="s">
        <v>350</v>
      </c>
      <c r="F150" t="s">
        <v>353</v>
      </c>
      <c r="G150" s="1">
        <v>1870</v>
      </c>
      <c r="H150" t="s">
        <v>354</v>
      </c>
      <c r="I150" t="s">
        <v>29</v>
      </c>
      <c r="J150" t="s">
        <v>355</v>
      </c>
      <c r="K150" t="s">
        <v>21</v>
      </c>
      <c r="L150" t="s">
        <v>48</v>
      </c>
      <c r="M150" s="1">
        <v>8</v>
      </c>
      <c r="N150" s="4">
        <v>45296</v>
      </c>
      <c r="O150" s="2">
        <v>551.29</v>
      </c>
      <c r="P150" s="2">
        <v>436.62</v>
      </c>
      <c r="Q150" s="2">
        <v>11.03</v>
      </c>
      <c r="R150" s="2">
        <f t="shared" si="60"/>
        <v>987.91</v>
      </c>
      <c r="S150" t="s">
        <v>356</v>
      </c>
      <c r="T150" t="s">
        <v>0</v>
      </c>
      <c r="U150" s="5">
        <f t="shared" ca="1" si="43"/>
        <v>794</v>
      </c>
      <c r="V150" s="37">
        <f t="shared" ca="1" si="42"/>
        <v>436.62</v>
      </c>
      <c r="W150" s="38">
        <f t="shared" ca="1" si="44"/>
        <v>987.91</v>
      </c>
      <c r="X150" s="38">
        <f t="shared" ca="1" si="45"/>
        <v>987.91</v>
      </c>
      <c r="Y150" s="39">
        <f t="shared" ca="1" si="61"/>
        <v>0</v>
      </c>
      <c r="Z150" s="39">
        <f t="shared" ca="1" si="46"/>
        <v>987.91</v>
      </c>
      <c r="AA150" s="40" t="str">
        <f t="shared" ca="1" si="47"/>
        <v>R$ 987,91 x 1 Parcelas</v>
      </c>
      <c r="AC150" s="17">
        <f t="shared" si="48"/>
        <v>446.43</v>
      </c>
      <c r="AD150" s="17">
        <f t="shared" si="49"/>
        <v>987.91</v>
      </c>
      <c r="AE150" s="17">
        <f t="shared" ca="1" si="50"/>
        <v>859.48169999999993</v>
      </c>
      <c r="AF150" s="17">
        <f t="shared" ca="1" si="51"/>
        <v>691.53699999999992</v>
      </c>
      <c r="AG150" s="17">
        <f t="shared" ca="1" si="52"/>
        <v>296.37300000000005</v>
      </c>
      <c r="AH150" s="15" t="str">
        <f t="shared" ca="1" si="53"/>
        <v>R$ 74,09 x 4 Parcelas</v>
      </c>
      <c r="AJ150" s="41">
        <f t="shared" si="54"/>
        <v>446.43</v>
      </c>
      <c r="AK150" s="42">
        <f t="shared" si="55"/>
        <v>987.91</v>
      </c>
      <c r="AL150" s="43">
        <f t="shared" ca="1" si="56"/>
        <v>908.87720000000002</v>
      </c>
      <c r="AM150" s="43">
        <f t="shared" ca="1" si="57"/>
        <v>592.74599999999998</v>
      </c>
      <c r="AN150" s="43">
        <f t="shared" ca="1" si="58"/>
        <v>462.44720000000001</v>
      </c>
      <c r="AO150" s="44" t="str">
        <f t="shared" ca="1" si="59"/>
        <v>R$ 115,61 x 4 Parcelas</v>
      </c>
    </row>
    <row r="151" spans="1:41" x14ac:dyDescent="0.3">
      <c r="A151" t="s">
        <v>364</v>
      </c>
      <c r="B151" t="s">
        <v>367</v>
      </c>
      <c r="C151" t="s">
        <v>368</v>
      </c>
      <c r="D151" t="s">
        <v>365</v>
      </c>
      <c r="E151" t="s">
        <v>366</v>
      </c>
      <c r="F151" t="s">
        <v>369</v>
      </c>
      <c r="G151" s="1">
        <v>725</v>
      </c>
      <c r="H151" t="s">
        <v>370</v>
      </c>
      <c r="I151" t="s">
        <v>29</v>
      </c>
      <c r="J151" t="s">
        <v>371</v>
      </c>
      <c r="K151" t="s">
        <v>372</v>
      </c>
      <c r="L151" t="s">
        <v>48</v>
      </c>
      <c r="M151" s="1">
        <v>6</v>
      </c>
      <c r="N151" s="4">
        <v>45296</v>
      </c>
      <c r="O151" s="2">
        <v>568.62</v>
      </c>
      <c r="P151" s="2">
        <v>450.35</v>
      </c>
      <c r="Q151" s="2">
        <v>11.37</v>
      </c>
      <c r="R151" s="2">
        <f t="shared" si="60"/>
        <v>1018.97</v>
      </c>
      <c r="S151" t="s">
        <v>356</v>
      </c>
      <c r="T151" t="s">
        <v>0</v>
      </c>
      <c r="U151" s="5">
        <f t="shared" ca="1" si="43"/>
        <v>794</v>
      </c>
      <c r="V151" s="37">
        <f t="shared" ca="1" si="42"/>
        <v>450.35</v>
      </c>
      <c r="W151" s="38">
        <f t="shared" ca="1" si="44"/>
        <v>1018.97</v>
      </c>
      <c r="X151" s="38">
        <f t="shared" ca="1" si="45"/>
        <v>1018.97</v>
      </c>
      <c r="Y151" s="39">
        <f t="shared" ca="1" si="61"/>
        <v>0</v>
      </c>
      <c r="Z151" s="39">
        <f t="shared" ca="1" si="46"/>
        <v>1018.97</v>
      </c>
      <c r="AA151" s="40" t="str">
        <f t="shared" ca="1" si="47"/>
        <v>R$ 1.018,97 x 1 Parcelas</v>
      </c>
      <c r="AC151" s="17">
        <f t="shared" si="48"/>
        <v>453.42</v>
      </c>
      <c r="AD151" s="17">
        <f t="shared" si="49"/>
        <v>1018.97</v>
      </c>
      <c r="AE151" s="17">
        <f t="shared" ca="1" si="50"/>
        <v>886.50390000000004</v>
      </c>
      <c r="AF151" s="17">
        <f t="shared" ca="1" si="51"/>
        <v>713.279</v>
      </c>
      <c r="AG151" s="17">
        <f t="shared" ca="1" si="52"/>
        <v>305.69100000000003</v>
      </c>
      <c r="AH151" s="15" t="str">
        <f t="shared" ca="1" si="53"/>
        <v>R$ 76,42 x 4 Parcelas</v>
      </c>
      <c r="AJ151" s="41">
        <f t="shared" si="54"/>
        <v>453.42</v>
      </c>
      <c r="AK151" s="42">
        <f t="shared" si="55"/>
        <v>1018.97</v>
      </c>
      <c r="AL151" s="43">
        <f t="shared" ca="1" si="56"/>
        <v>937.45240000000001</v>
      </c>
      <c r="AM151" s="43">
        <f t="shared" ca="1" si="57"/>
        <v>611.38199999999995</v>
      </c>
      <c r="AN151" s="43">
        <f t="shared" ca="1" si="58"/>
        <v>484.0324</v>
      </c>
      <c r="AO151" s="44" t="str">
        <f t="shared" ca="1" si="59"/>
        <v>R$ 121,01 x 4 Parcelas</v>
      </c>
    </row>
    <row r="152" spans="1:41" x14ac:dyDescent="0.3">
      <c r="A152" t="s">
        <v>364</v>
      </c>
      <c r="B152" t="s">
        <v>367</v>
      </c>
      <c r="C152" t="s">
        <v>368</v>
      </c>
      <c r="D152" t="s">
        <v>365</v>
      </c>
      <c r="E152" t="s">
        <v>366</v>
      </c>
      <c r="F152" t="s">
        <v>369</v>
      </c>
      <c r="G152" s="1">
        <v>725</v>
      </c>
      <c r="H152" t="s">
        <v>370</v>
      </c>
      <c r="I152" t="s">
        <v>29</v>
      </c>
      <c r="J152" t="s">
        <v>371</v>
      </c>
      <c r="K152" t="s">
        <v>372</v>
      </c>
      <c r="L152" t="s">
        <v>48</v>
      </c>
      <c r="M152" s="1">
        <v>1</v>
      </c>
      <c r="N152" s="4">
        <v>45302</v>
      </c>
      <c r="O152" s="2">
        <v>511.76</v>
      </c>
      <c r="P152" s="2">
        <v>402.24</v>
      </c>
      <c r="Q152" s="2">
        <v>10.24</v>
      </c>
      <c r="R152" s="2">
        <f t="shared" si="60"/>
        <v>914</v>
      </c>
      <c r="S152" t="s">
        <v>356</v>
      </c>
      <c r="T152" t="s">
        <v>245</v>
      </c>
      <c r="U152" s="5">
        <f t="shared" ca="1" si="43"/>
        <v>788</v>
      </c>
      <c r="V152" s="37">
        <f t="shared" ca="1" si="42"/>
        <v>402.24</v>
      </c>
      <c r="W152" s="38">
        <f t="shared" ca="1" si="44"/>
        <v>914</v>
      </c>
      <c r="X152" s="38">
        <f t="shared" ca="1" si="45"/>
        <v>914</v>
      </c>
      <c r="Y152" s="39">
        <f t="shared" ca="1" si="61"/>
        <v>0</v>
      </c>
      <c r="Z152" s="39">
        <f t="shared" ca="1" si="46"/>
        <v>914</v>
      </c>
      <c r="AA152" s="40" t="str">
        <f t="shared" ca="1" si="47"/>
        <v>R$ 914,00 x 1 Parcelas</v>
      </c>
      <c r="AC152" s="17">
        <f t="shared" si="48"/>
        <v>404.68</v>
      </c>
      <c r="AD152" s="17">
        <f t="shared" si="49"/>
        <v>914</v>
      </c>
      <c r="AE152" s="17">
        <f t="shared" ca="1" si="50"/>
        <v>795.18</v>
      </c>
      <c r="AF152" s="17">
        <f t="shared" ca="1" si="51"/>
        <v>639.79999999999995</v>
      </c>
      <c r="AG152" s="17">
        <f t="shared" ca="1" si="52"/>
        <v>274.20000000000005</v>
      </c>
      <c r="AH152" s="15" t="str">
        <f t="shared" ca="1" si="53"/>
        <v>R$ 68,55 x 4 Parcelas</v>
      </c>
      <c r="AJ152" s="41">
        <f t="shared" si="54"/>
        <v>404.68</v>
      </c>
      <c r="AK152" s="42">
        <f t="shared" si="55"/>
        <v>914</v>
      </c>
      <c r="AL152" s="43">
        <f t="shared" ca="1" si="56"/>
        <v>840.88</v>
      </c>
      <c r="AM152" s="43">
        <f t="shared" ca="1" si="57"/>
        <v>548.4</v>
      </c>
      <c r="AN152" s="43">
        <f t="shared" ca="1" si="58"/>
        <v>436.2</v>
      </c>
      <c r="AO152" s="44" t="str">
        <f t="shared" ca="1" si="59"/>
        <v>R$ 109,05 x 4 Parcelas</v>
      </c>
    </row>
    <row r="153" spans="1:41" x14ac:dyDescent="0.3">
      <c r="A153" t="s">
        <v>373</v>
      </c>
      <c r="B153" t="s">
        <v>375</v>
      </c>
      <c r="C153" t="s">
        <v>376</v>
      </c>
      <c r="D153" t="s">
        <v>21</v>
      </c>
      <c r="E153" t="s">
        <v>374</v>
      </c>
      <c r="F153" t="s">
        <v>377</v>
      </c>
      <c r="G153" s="1">
        <v>2217</v>
      </c>
      <c r="H153" t="s">
        <v>378</v>
      </c>
      <c r="I153" t="s">
        <v>29</v>
      </c>
      <c r="J153" t="s">
        <v>379</v>
      </c>
      <c r="K153" t="s">
        <v>67</v>
      </c>
      <c r="L153" t="s">
        <v>48</v>
      </c>
      <c r="M153" s="1">
        <v>11</v>
      </c>
      <c r="N153" s="4">
        <v>45306</v>
      </c>
      <c r="O153" s="2">
        <v>518.08000000000004</v>
      </c>
      <c r="P153" s="2">
        <v>405.14</v>
      </c>
      <c r="Q153" s="2">
        <v>10.36</v>
      </c>
      <c r="R153" s="2">
        <f t="shared" si="60"/>
        <v>923.22</v>
      </c>
      <c r="S153" t="s">
        <v>356</v>
      </c>
      <c r="T153" t="s">
        <v>0</v>
      </c>
      <c r="U153" s="5">
        <f t="shared" ca="1" si="43"/>
        <v>784</v>
      </c>
      <c r="V153" s="37">
        <f t="shared" ca="1" si="42"/>
        <v>405.14</v>
      </c>
      <c r="W153" s="38">
        <f t="shared" ca="1" si="44"/>
        <v>923.22</v>
      </c>
      <c r="X153" s="38">
        <f t="shared" ca="1" si="45"/>
        <v>923.22</v>
      </c>
      <c r="Y153" s="39">
        <f t="shared" ca="1" si="61"/>
        <v>0</v>
      </c>
      <c r="Z153" s="39">
        <f t="shared" ca="1" si="46"/>
        <v>923.22</v>
      </c>
      <c r="AA153" s="40" t="str">
        <f t="shared" ca="1" si="47"/>
        <v>R$ 923,22 x 1 Parcelas</v>
      </c>
      <c r="AC153" s="17">
        <f t="shared" si="48"/>
        <v>408.34</v>
      </c>
      <c r="AD153" s="17">
        <f t="shared" si="49"/>
        <v>923.22</v>
      </c>
      <c r="AE153" s="17">
        <f t="shared" ca="1" si="50"/>
        <v>803.20140000000004</v>
      </c>
      <c r="AF153" s="17">
        <f t="shared" ca="1" si="51"/>
        <v>646.25400000000002</v>
      </c>
      <c r="AG153" s="17">
        <f t="shared" ca="1" si="52"/>
        <v>276.96600000000001</v>
      </c>
      <c r="AH153" s="15" t="str">
        <f t="shared" ca="1" si="53"/>
        <v>R$ 69,24 x 4 Parcelas</v>
      </c>
      <c r="AJ153" s="41">
        <f t="shared" si="54"/>
        <v>408.34</v>
      </c>
      <c r="AK153" s="42">
        <f t="shared" si="55"/>
        <v>923.22</v>
      </c>
      <c r="AL153" s="43">
        <f t="shared" ca="1" si="56"/>
        <v>849.36240000000009</v>
      </c>
      <c r="AM153" s="43">
        <f t="shared" ca="1" si="57"/>
        <v>553.93200000000002</v>
      </c>
      <c r="AN153" s="43">
        <f t="shared" ca="1" si="58"/>
        <v>441.02240000000012</v>
      </c>
      <c r="AO153" s="44" t="str">
        <f t="shared" ca="1" si="59"/>
        <v>R$ 110,26 x 4 Parcelas</v>
      </c>
    </row>
    <row r="154" spans="1:41" x14ac:dyDescent="0.3">
      <c r="A154" t="s">
        <v>349</v>
      </c>
      <c r="B154" t="s">
        <v>351</v>
      </c>
      <c r="C154" t="s">
        <v>352</v>
      </c>
      <c r="D154" t="s">
        <v>21</v>
      </c>
      <c r="E154" t="s">
        <v>350</v>
      </c>
      <c r="F154" t="s">
        <v>353</v>
      </c>
      <c r="G154" s="1">
        <v>1870</v>
      </c>
      <c r="H154" t="s">
        <v>354</v>
      </c>
      <c r="I154" t="s">
        <v>29</v>
      </c>
      <c r="J154" t="s">
        <v>355</v>
      </c>
      <c r="K154" t="s">
        <v>21</v>
      </c>
      <c r="L154" t="s">
        <v>48</v>
      </c>
      <c r="M154" s="1">
        <v>9</v>
      </c>
      <c r="N154" s="4">
        <v>45327</v>
      </c>
      <c r="O154" s="2">
        <v>551.29</v>
      </c>
      <c r="P154" s="2">
        <v>419.53</v>
      </c>
      <c r="Q154" s="2">
        <v>11.03</v>
      </c>
      <c r="R154" s="2">
        <f t="shared" si="60"/>
        <v>970.81999999999994</v>
      </c>
      <c r="S154" t="s">
        <v>356</v>
      </c>
      <c r="T154" t="s">
        <v>0</v>
      </c>
      <c r="U154" s="5">
        <f t="shared" ca="1" si="43"/>
        <v>763</v>
      </c>
      <c r="V154" s="37">
        <f t="shared" ca="1" si="42"/>
        <v>419.53</v>
      </c>
      <c r="W154" s="38">
        <f t="shared" ca="1" si="44"/>
        <v>970.81999999999994</v>
      </c>
      <c r="X154" s="38">
        <f t="shared" ca="1" si="45"/>
        <v>970.81999999999994</v>
      </c>
      <c r="Y154" s="39">
        <f t="shared" ca="1" si="61"/>
        <v>0</v>
      </c>
      <c r="Z154" s="39">
        <f t="shared" ca="1" si="46"/>
        <v>970.81999999999994</v>
      </c>
      <c r="AA154" s="40" t="str">
        <f t="shared" ca="1" si="47"/>
        <v>R$ 970,82 x 1 Parcelas</v>
      </c>
      <c r="AC154" s="17">
        <f t="shared" si="48"/>
        <v>424.79999999999995</v>
      </c>
      <c r="AD154" s="17">
        <f t="shared" si="49"/>
        <v>970.81999999999994</v>
      </c>
      <c r="AE154" s="17">
        <f t="shared" ca="1" si="50"/>
        <v>844.61339999999996</v>
      </c>
      <c r="AF154" s="17">
        <f t="shared" ca="1" si="51"/>
        <v>679.57399999999996</v>
      </c>
      <c r="AG154" s="17">
        <f t="shared" ca="1" si="52"/>
        <v>291.24599999999998</v>
      </c>
      <c r="AH154" s="15" t="str">
        <f t="shared" ca="1" si="53"/>
        <v>R$ 72,81 x 4 Parcelas</v>
      </c>
      <c r="AJ154" s="41">
        <f t="shared" si="54"/>
        <v>424.79999999999995</v>
      </c>
      <c r="AK154" s="42">
        <f t="shared" si="55"/>
        <v>970.81999999999994</v>
      </c>
      <c r="AL154" s="43">
        <f t="shared" ca="1" si="56"/>
        <v>893.15440000000001</v>
      </c>
      <c r="AM154" s="43">
        <f t="shared" ca="1" si="57"/>
        <v>582.49199999999996</v>
      </c>
      <c r="AN154" s="43">
        <f t="shared" ca="1" si="58"/>
        <v>468.35440000000006</v>
      </c>
      <c r="AO154" s="44" t="str">
        <f t="shared" ca="1" si="59"/>
        <v>R$ 117,09 x 4 Parcelas</v>
      </c>
    </row>
    <row r="155" spans="1:41" x14ac:dyDescent="0.3">
      <c r="A155" t="s">
        <v>364</v>
      </c>
      <c r="B155" t="s">
        <v>367</v>
      </c>
      <c r="C155" t="s">
        <v>368</v>
      </c>
      <c r="D155" t="s">
        <v>365</v>
      </c>
      <c r="E155" t="s">
        <v>366</v>
      </c>
      <c r="F155" t="s">
        <v>369</v>
      </c>
      <c r="G155" s="1">
        <v>725</v>
      </c>
      <c r="H155" t="s">
        <v>370</v>
      </c>
      <c r="I155" t="s">
        <v>29</v>
      </c>
      <c r="J155" t="s">
        <v>371</v>
      </c>
      <c r="K155" t="s">
        <v>372</v>
      </c>
      <c r="L155" t="s">
        <v>48</v>
      </c>
      <c r="M155" s="1">
        <v>7</v>
      </c>
      <c r="N155" s="4">
        <v>45327</v>
      </c>
      <c r="O155" s="2">
        <v>568.62</v>
      </c>
      <c r="P155" s="2">
        <v>432.72</v>
      </c>
      <c r="Q155" s="2">
        <v>11.37</v>
      </c>
      <c r="R155" s="2">
        <f t="shared" si="60"/>
        <v>1001.34</v>
      </c>
      <c r="S155" t="s">
        <v>356</v>
      </c>
      <c r="T155" t="s">
        <v>0</v>
      </c>
      <c r="U155" s="5">
        <f t="shared" ca="1" si="43"/>
        <v>763</v>
      </c>
      <c r="V155" s="37">
        <f t="shared" ca="1" si="42"/>
        <v>432.72</v>
      </c>
      <c r="W155" s="38">
        <f t="shared" ca="1" si="44"/>
        <v>1001.34</v>
      </c>
      <c r="X155" s="38">
        <f t="shared" ca="1" si="45"/>
        <v>1001.34</v>
      </c>
      <c r="Y155" s="39">
        <f t="shared" ca="1" si="61"/>
        <v>0</v>
      </c>
      <c r="Z155" s="39">
        <f t="shared" ca="1" si="46"/>
        <v>1001.34</v>
      </c>
      <c r="AA155" s="40" t="str">
        <f t="shared" ca="1" si="47"/>
        <v>R$ 1.001,34 x 1 Parcelas</v>
      </c>
      <c r="AC155" s="17">
        <f t="shared" si="48"/>
        <v>434.98</v>
      </c>
      <c r="AD155" s="17">
        <f t="shared" si="49"/>
        <v>1001.34</v>
      </c>
      <c r="AE155" s="17">
        <f t="shared" ca="1" si="50"/>
        <v>871.16579999999999</v>
      </c>
      <c r="AF155" s="17">
        <f t="shared" ca="1" si="51"/>
        <v>700.93799999999999</v>
      </c>
      <c r="AG155" s="17">
        <f t="shared" ca="1" si="52"/>
        <v>300.40200000000004</v>
      </c>
      <c r="AH155" s="15" t="str">
        <f t="shared" ca="1" si="53"/>
        <v>R$ 75,10 x 4 Parcelas</v>
      </c>
      <c r="AJ155" s="41">
        <f t="shared" si="54"/>
        <v>434.98</v>
      </c>
      <c r="AK155" s="42">
        <f t="shared" si="55"/>
        <v>1001.34</v>
      </c>
      <c r="AL155" s="43">
        <f t="shared" ca="1" si="56"/>
        <v>921.23280000000011</v>
      </c>
      <c r="AM155" s="43">
        <f t="shared" ca="1" si="57"/>
        <v>600.80399999999997</v>
      </c>
      <c r="AN155" s="43">
        <f t="shared" ca="1" si="58"/>
        <v>486.25280000000009</v>
      </c>
      <c r="AO155" s="44" t="str">
        <f t="shared" ca="1" si="59"/>
        <v>R$ 121,56 x 4 Parcelas</v>
      </c>
    </row>
    <row r="156" spans="1:41" x14ac:dyDescent="0.3">
      <c r="A156" t="s">
        <v>373</v>
      </c>
      <c r="B156" t="s">
        <v>375</v>
      </c>
      <c r="C156" t="s">
        <v>376</v>
      </c>
      <c r="D156" t="s">
        <v>21</v>
      </c>
      <c r="E156" t="s">
        <v>374</v>
      </c>
      <c r="F156" t="s">
        <v>377</v>
      </c>
      <c r="G156" s="1">
        <v>2217</v>
      </c>
      <c r="H156" t="s">
        <v>378</v>
      </c>
      <c r="I156" t="s">
        <v>29</v>
      </c>
      <c r="J156" t="s">
        <v>379</v>
      </c>
      <c r="K156" t="s">
        <v>67</v>
      </c>
      <c r="L156" t="s">
        <v>48</v>
      </c>
      <c r="M156" s="1">
        <v>12</v>
      </c>
      <c r="N156" s="4">
        <v>45337</v>
      </c>
      <c r="O156" s="2">
        <v>518.08000000000004</v>
      </c>
      <c r="P156" s="2">
        <v>389.08</v>
      </c>
      <c r="Q156" s="2">
        <v>10.36</v>
      </c>
      <c r="R156" s="2">
        <f t="shared" si="60"/>
        <v>907.16000000000008</v>
      </c>
      <c r="S156" t="s">
        <v>356</v>
      </c>
      <c r="T156" t="s">
        <v>0</v>
      </c>
      <c r="U156" s="5">
        <f t="shared" ca="1" si="43"/>
        <v>753</v>
      </c>
      <c r="V156" s="37">
        <f t="shared" ca="1" si="42"/>
        <v>389.08</v>
      </c>
      <c r="W156" s="38">
        <f t="shared" ca="1" si="44"/>
        <v>907.16000000000008</v>
      </c>
      <c r="X156" s="38">
        <f t="shared" ca="1" si="45"/>
        <v>907.16000000000008</v>
      </c>
      <c r="Y156" s="39">
        <f t="shared" ca="1" si="61"/>
        <v>0</v>
      </c>
      <c r="Z156" s="39">
        <f t="shared" ca="1" si="46"/>
        <v>907.16000000000008</v>
      </c>
      <c r="AA156" s="40" t="str">
        <f t="shared" ca="1" si="47"/>
        <v>R$ 907,16 x 1 Parcelas</v>
      </c>
      <c r="AC156" s="17">
        <f t="shared" si="48"/>
        <v>391.34</v>
      </c>
      <c r="AD156" s="17">
        <f t="shared" si="49"/>
        <v>907.16000000000008</v>
      </c>
      <c r="AE156" s="17">
        <f t="shared" ca="1" si="50"/>
        <v>789.22920000000011</v>
      </c>
      <c r="AF156" s="17">
        <f t="shared" ca="1" si="51"/>
        <v>635.01200000000006</v>
      </c>
      <c r="AG156" s="17">
        <f t="shared" ca="1" si="52"/>
        <v>272.14800000000002</v>
      </c>
      <c r="AH156" s="15" t="str">
        <f t="shared" ca="1" si="53"/>
        <v>R$ 68,04 x 4 Parcelas</v>
      </c>
      <c r="AJ156" s="41">
        <f t="shared" si="54"/>
        <v>391.34</v>
      </c>
      <c r="AK156" s="42">
        <f t="shared" si="55"/>
        <v>907.16000000000008</v>
      </c>
      <c r="AL156" s="43">
        <f t="shared" ca="1" si="56"/>
        <v>834.58720000000017</v>
      </c>
      <c r="AM156" s="43">
        <f t="shared" ca="1" si="57"/>
        <v>544.29600000000005</v>
      </c>
      <c r="AN156" s="43">
        <f t="shared" ca="1" si="58"/>
        <v>443.24720000000019</v>
      </c>
      <c r="AO156" s="44" t="str">
        <f t="shared" ca="1" si="59"/>
        <v>R$ 110,81 x 4 Parcelas</v>
      </c>
    </row>
    <row r="157" spans="1:41" x14ac:dyDescent="0.3">
      <c r="A157" t="s">
        <v>349</v>
      </c>
      <c r="B157" t="s">
        <v>351</v>
      </c>
      <c r="C157" t="s">
        <v>352</v>
      </c>
      <c r="D157" t="s">
        <v>21</v>
      </c>
      <c r="E157" t="s">
        <v>350</v>
      </c>
      <c r="F157" t="s">
        <v>353</v>
      </c>
      <c r="G157" s="1">
        <v>1870</v>
      </c>
      <c r="H157" t="s">
        <v>354</v>
      </c>
      <c r="I157" t="s">
        <v>29</v>
      </c>
      <c r="J157" t="s">
        <v>355</v>
      </c>
      <c r="K157" t="s">
        <v>21</v>
      </c>
      <c r="L157" t="s">
        <v>48</v>
      </c>
      <c r="M157" s="1">
        <v>10</v>
      </c>
      <c r="N157" s="4">
        <v>45356</v>
      </c>
      <c r="O157" s="2">
        <v>551.29</v>
      </c>
      <c r="P157" s="2">
        <v>403.54</v>
      </c>
      <c r="Q157" s="2">
        <v>11.03</v>
      </c>
      <c r="R157" s="2">
        <f t="shared" si="60"/>
        <v>954.82999999999993</v>
      </c>
      <c r="S157" t="s">
        <v>356</v>
      </c>
      <c r="T157" t="s">
        <v>0</v>
      </c>
      <c r="U157" s="5">
        <f t="shared" ca="1" si="43"/>
        <v>734</v>
      </c>
      <c r="V157" s="37">
        <f t="shared" ca="1" si="42"/>
        <v>403.54</v>
      </c>
      <c r="W157" s="38">
        <f t="shared" ca="1" si="44"/>
        <v>954.82999999999993</v>
      </c>
      <c r="X157" s="38">
        <f t="shared" ca="1" si="45"/>
        <v>954.82999999999993</v>
      </c>
      <c r="Y157" s="39">
        <f t="shared" ca="1" si="61"/>
        <v>0</v>
      </c>
      <c r="Z157" s="39">
        <f t="shared" ca="1" si="46"/>
        <v>954.82999999999993</v>
      </c>
      <c r="AA157" s="40" t="str">
        <f t="shared" ca="1" si="47"/>
        <v>R$ 954,83 x 1 Parcelas</v>
      </c>
      <c r="AC157" s="17">
        <f t="shared" si="48"/>
        <v>406.29</v>
      </c>
      <c r="AD157" s="17">
        <f t="shared" si="49"/>
        <v>954.82999999999993</v>
      </c>
      <c r="AE157" s="17">
        <f t="shared" ca="1" si="50"/>
        <v>830.70209999999997</v>
      </c>
      <c r="AF157" s="17">
        <f t="shared" ca="1" si="51"/>
        <v>668.38099999999986</v>
      </c>
      <c r="AG157" s="17">
        <f t="shared" ca="1" si="52"/>
        <v>286.44900000000007</v>
      </c>
      <c r="AH157" s="15" t="str">
        <f t="shared" ca="1" si="53"/>
        <v>R$ 71,61 x 4 Parcelas</v>
      </c>
      <c r="AJ157" s="41">
        <f t="shared" si="54"/>
        <v>406.29</v>
      </c>
      <c r="AK157" s="42">
        <f t="shared" si="55"/>
        <v>954.82999999999993</v>
      </c>
      <c r="AL157" s="43">
        <f t="shared" ca="1" si="56"/>
        <v>878.44359999999995</v>
      </c>
      <c r="AM157" s="43">
        <f t="shared" ca="1" si="57"/>
        <v>572.89799999999991</v>
      </c>
      <c r="AN157" s="43">
        <f t="shared" ca="1" si="58"/>
        <v>472.15359999999993</v>
      </c>
      <c r="AO157" s="44" t="str">
        <f t="shared" ca="1" si="59"/>
        <v>R$ 118,04 x 4 Parcelas</v>
      </c>
    </row>
    <row r="158" spans="1:41" x14ac:dyDescent="0.3">
      <c r="A158" t="s">
        <v>364</v>
      </c>
      <c r="B158" t="s">
        <v>367</v>
      </c>
      <c r="C158" t="s">
        <v>368</v>
      </c>
      <c r="D158" t="s">
        <v>365</v>
      </c>
      <c r="E158" t="s">
        <v>366</v>
      </c>
      <c r="F158" t="s">
        <v>369</v>
      </c>
      <c r="G158" s="1">
        <v>725</v>
      </c>
      <c r="H158" t="s">
        <v>370</v>
      </c>
      <c r="I158" t="s">
        <v>29</v>
      </c>
      <c r="J158" t="s">
        <v>371</v>
      </c>
      <c r="K158" t="s">
        <v>372</v>
      </c>
      <c r="L158" t="s">
        <v>48</v>
      </c>
      <c r="M158" s="1">
        <v>8</v>
      </c>
      <c r="N158" s="4">
        <v>45356</v>
      </c>
      <c r="O158" s="2">
        <v>568.62</v>
      </c>
      <c r="P158" s="2">
        <v>416.23</v>
      </c>
      <c r="Q158" s="2">
        <v>11.37</v>
      </c>
      <c r="R158" s="2">
        <f t="shared" si="60"/>
        <v>984.85</v>
      </c>
      <c r="S158" t="s">
        <v>356</v>
      </c>
      <c r="T158" t="s">
        <v>0</v>
      </c>
      <c r="U158" s="5">
        <f t="shared" ca="1" si="43"/>
        <v>734</v>
      </c>
      <c r="V158" s="37">
        <f t="shared" ca="1" si="42"/>
        <v>416.23</v>
      </c>
      <c r="W158" s="38">
        <f t="shared" ca="1" si="44"/>
        <v>984.85</v>
      </c>
      <c r="X158" s="38">
        <f t="shared" ca="1" si="45"/>
        <v>984.85</v>
      </c>
      <c r="Y158" s="39">
        <f t="shared" ca="1" si="61"/>
        <v>0</v>
      </c>
      <c r="Z158" s="39">
        <f t="shared" ca="1" si="46"/>
        <v>984.85</v>
      </c>
      <c r="AA158" s="40" t="str">
        <f t="shared" ca="1" si="47"/>
        <v>R$ 984,85 x 1 Parcelas</v>
      </c>
      <c r="AC158" s="17">
        <f t="shared" si="48"/>
        <v>421.5</v>
      </c>
      <c r="AD158" s="17">
        <f t="shared" si="49"/>
        <v>984.85</v>
      </c>
      <c r="AE158" s="17">
        <f t="shared" ca="1" si="50"/>
        <v>856.81950000000006</v>
      </c>
      <c r="AF158" s="17">
        <f t="shared" ca="1" si="51"/>
        <v>689.39499999999998</v>
      </c>
      <c r="AG158" s="17">
        <f t="shared" ca="1" si="52"/>
        <v>295.45500000000004</v>
      </c>
      <c r="AH158" s="15" t="str">
        <f t="shared" ca="1" si="53"/>
        <v>R$ 73,86 x 4 Parcelas</v>
      </c>
      <c r="AJ158" s="41">
        <f t="shared" si="54"/>
        <v>421.5</v>
      </c>
      <c r="AK158" s="42">
        <f t="shared" si="55"/>
        <v>984.85</v>
      </c>
      <c r="AL158" s="43">
        <f t="shared" ca="1" si="56"/>
        <v>906.06200000000001</v>
      </c>
      <c r="AM158" s="43">
        <f t="shared" ca="1" si="57"/>
        <v>590.91</v>
      </c>
      <c r="AN158" s="43">
        <f t="shared" ca="1" si="58"/>
        <v>484.56200000000001</v>
      </c>
      <c r="AO158" s="44" t="str">
        <f t="shared" ca="1" si="59"/>
        <v>R$ 121,14 x 4 Parcelas</v>
      </c>
    </row>
    <row r="159" spans="1:41" x14ac:dyDescent="0.3">
      <c r="A159" t="s">
        <v>349</v>
      </c>
      <c r="B159" t="s">
        <v>351</v>
      </c>
      <c r="C159" t="s">
        <v>352</v>
      </c>
      <c r="D159" t="s">
        <v>21</v>
      </c>
      <c r="E159" t="s">
        <v>350</v>
      </c>
      <c r="F159" t="s">
        <v>353</v>
      </c>
      <c r="G159" s="1">
        <v>1870</v>
      </c>
      <c r="H159" t="s">
        <v>354</v>
      </c>
      <c r="I159" t="s">
        <v>29</v>
      </c>
      <c r="J159" t="s">
        <v>355</v>
      </c>
      <c r="K159" t="s">
        <v>21</v>
      </c>
      <c r="L159" t="s">
        <v>48</v>
      </c>
      <c r="M159" s="1">
        <v>11</v>
      </c>
      <c r="N159" s="4">
        <v>45387</v>
      </c>
      <c r="O159" s="2">
        <v>551.29</v>
      </c>
      <c r="P159" s="2">
        <v>386.45</v>
      </c>
      <c r="Q159" s="2">
        <v>11.03</v>
      </c>
      <c r="R159" s="2">
        <f t="shared" si="60"/>
        <v>937.74</v>
      </c>
      <c r="S159" t="s">
        <v>356</v>
      </c>
      <c r="T159" t="s">
        <v>0</v>
      </c>
      <c r="U159" s="5">
        <f t="shared" ca="1" si="43"/>
        <v>703</v>
      </c>
      <c r="V159" s="37">
        <f t="shared" ca="1" si="42"/>
        <v>386.45</v>
      </c>
      <c r="W159" s="38">
        <f t="shared" ca="1" si="44"/>
        <v>937.74</v>
      </c>
      <c r="X159" s="38">
        <f t="shared" ca="1" si="45"/>
        <v>937.74</v>
      </c>
      <c r="Y159" s="39">
        <f t="shared" ca="1" si="61"/>
        <v>0</v>
      </c>
      <c r="Z159" s="39">
        <f t="shared" ca="1" si="46"/>
        <v>937.74</v>
      </c>
      <c r="AA159" s="40" t="str">
        <f t="shared" ca="1" si="47"/>
        <v>R$ 937,74 x 1 Parcelas</v>
      </c>
      <c r="AC159" s="17">
        <f t="shared" si="48"/>
        <v>389.15999999999997</v>
      </c>
      <c r="AD159" s="17">
        <f t="shared" si="49"/>
        <v>937.74</v>
      </c>
      <c r="AE159" s="17">
        <f t="shared" ca="1" si="50"/>
        <v>825.21119999999996</v>
      </c>
      <c r="AF159" s="17">
        <f t="shared" ca="1" si="51"/>
        <v>656.41800000000001</v>
      </c>
      <c r="AG159" s="17">
        <f t="shared" ca="1" si="52"/>
        <v>281.322</v>
      </c>
      <c r="AH159" s="15" t="str">
        <f t="shared" ca="1" si="53"/>
        <v>R$ 70,33 x 4 Parcelas</v>
      </c>
      <c r="AJ159" s="41">
        <f t="shared" si="54"/>
        <v>389.15999999999997</v>
      </c>
      <c r="AK159" s="42">
        <f t="shared" si="55"/>
        <v>937.74</v>
      </c>
      <c r="AL159" s="43">
        <f t="shared" ca="1" si="56"/>
        <v>872.09819999999991</v>
      </c>
      <c r="AM159" s="43">
        <f t="shared" ca="1" si="57"/>
        <v>562.64400000000001</v>
      </c>
      <c r="AN159" s="43">
        <f t="shared" ca="1" si="58"/>
        <v>482.93819999999994</v>
      </c>
      <c r="AO159" s="44" t="str">
        <f t="shared" ca="1" si="59"/>
        <v>R$ 120,73 x 4 Parcelas</v>
      </c>
    </row>
    <row r="160" spans="1:41" x14ac:dyDescent="0.3">
      <c r="A160" t="s">
        <v>364</v>
      </c>
      <c r="B160" t="s">
        <v>367</v>
      </c>
      <c r="C160" t="s">
        <v>368</v>
      </c>
      <c r="D160" t="s">
        <v>365</v>
      </c>
      <c r="E160" t="s">
        <v>366</v>
      </c>
      <c r="F160" t="s">
        <v>369</v>
      </c>
      <c r="G160" s="1">
        <v>725</v>
      </c>
      <c r="H160" t="s">
        <v>370</v>
      </c>
      <c r="I160" t="s">
        <v>29</v>
      </c>
      <c r="J160" t="s">
        <v>371</v>
      </c>
      <c r="K160" t="s">
        <v>372</v>
      </c>
      <c r="L160" t="s">
        <v>48</v>
      </c>
      <c r="M160" s="1">
        <v>9</v>
      </c>
      <c r="N160" s="4">
        <v>45387</v>
      </c>
      <c r="O160" s="2">
        <v>568.62</v>
      </c>
      <c r="P160" s="2">
        <v>398.6</v>
      </c>
      <c r="Q160" s="2">
        <v>11.37</v>
      </c>
      <c r="R160" s="2">
        <f t="shared" si="60"/>
        <v>967.22</v>
      </c>
      <c r="S160" t="s">
        <v>356</v>
      </c>
      <c r="T160" t="s">
        <v>0</v>
      </c>
      <c r="U160" s="5">
        <f t="shared" ca="1" si="43"/>
        <v>703</v>
      </c>
      <c r="V160" s="37">
        <f t="shared" ca="1" si="42"/>
        <v>398.6</v>
      </c>
      <c r="W160" s="38">
        <f t="shared" ca="1" si="44"/>
        <v>967.22</v>
      </c>
      <c r="X160" s="38">
        <f t="shared" ca="1" si="45"/>
        <v>967.22</v>
      </c>
      <c r="Y160" s="39">
        <f t="shared" ca="1" si="61"/>
        <v>0</v>
      </c>
      <c r="Z160" s="39">
        <f t="shared" ca="1" si="46"/>
        <v>967.22</v>
      </c>
      <c r="AA160" s="40" t="str">
        <f t="shared" ca="1" si="47"/>
        <v>R$ 967,22 x 1 Parcelas</v>
      </c>
      <c r="AC160" s="17">
        <f t="shared" si="48"/>
        <v>401.04</v>
      </c>
      <c r="AD160" s="17">
        <f t="shared" si="49"/>
        <v>967.22</v>
      </c>
      <c r="AE160" s="17">
        <f t="shared" ca="1" si="50"/>
        <v>851.15359999999998</v>
      </c>
      <c r="AF160" s="17">
        <f t="shared" ca="1" si="51"/>
        <v>677.05399999999997</v>
      </c>
      <c r="AG160" s="17">
        <f t="shared" ca="1" si="52"/>
        <v>290.16600000000005</v>
      </c>
      <c r="AH160" s="15" t="str">
        <f t="shared" ca="1" si="53"/>
        <v>R$ 72,54 x 4 Parcelas</v>
      </c>
      <c r="AJ160" s="41">
        <f t="shared" si="54"/>
        <v>401.04</v>
      </c>
      <c r="AK160" s="42">
        <f t="shared" si="55"/>
        <v>967.22</v>
      </c>
      <c r="AL160" s="43">
        <f t="shared" ca="1" si="56"/>
        <v>899.51459999999997</v>
      </c>
      <c r="AM160" s="43">
        <f t="shared" ca="1" si="57"/>
        <v>580.33199999999999</v>
      </c>
      <c r="AN160" s="43">
        <f t="shared" ca="1" si="58"/>
        <v>498.47459999999995</v>
      </c>
      <c r="AO160" s="44" t="str">
        <f t="shared" ca="1" si="59"/>
        <v>R$ 124,62 x 4 Parcelas</v>
      </c>
    </row>
    <row r="161" spans="1:41" x14ac:dyDescent="0.3">
      <c r="A161" t="s">
        <v>349</v>
      </c>
      <c r="B161" t="s">
        <v>351</v>
      </c>
      <c r="C161" t="s">
        <v>352</v>
      </c>
      <c r="D161" t="s">
        <v>21</v>
      </c>
      <c r="E161" t="s">
        <v>350</v>
      </c>
      <c r="F161" t="s">
        <v>353</v>
      </c>
      <c r="G161" s="1">
        <v>1870</v>
      </c>
      <c r="H161" t="s">
        <v>354</v>
      </c>
      <c r="I161" t="s">
        <v>29</v>
      </c>
      <c r="J161" t="s">
        <v>355</v>
      </c>
      <c r="K161" t="s">
        <v>21</v>
      </c>
      <c r="L161" t="s">
        <v>48</v>
      </c>
      <c r="M161" s="1">
        <v>12</v>
      </c>
      <c r="N161" s="4">
        <v>45417</v>
      </c>
      <c r="O161" s="2">
        <v>551.29</v>
      </c>
      <c r="P161" s="2">
        <v>369.36</v>
      </c>
      <c r="Q161" s="2">
        <v>11.03</v>
      </c>
      <c r="R161" s="2">
        <f t="shared" si="60"/>
        <v>920.65</v>
      </c>
      <c r="S161" t="s">
        <v>356</v>
      </c>
      <c r="T161" t="s">
        <v>0</v>
      </c>
      <c r="U161" s="5">
        <f t="shared" ca="1" si="43"/>
        <v>673</v>
      </c>
      <c r="V161" s="37">
        <f t="shared" ca="1" si="42"/>
        <v>369.36</v>
      </c>
      <c r="W161" s="38">
        <f t="shared" ca="1" si="44"/>
        <v>920.65</v>
      </c>
      <c r="X161" s="38">
        <f t="shared" ca="1" si="45"/>
        <v>920.65</v>
      </c>
      <c r="Y161" s="39">
        <f t="shared" ca="1" si="61"/>
        <v>0</v>
      </c>
      <c r="Z161" s="39">
        <f t="shared" ca="1" si="46"/>
        <v>920.65</v>
      </c>
      <c r="AA161" s="40" t="str">
        <f t="shared" ca="1" si="47"/>
        <v>R$ 920,65 x 1 Parcelas</v>
      </c>
      <c r="AC161" s="17">
        <f t="shared" si="48"/>
        <v>371.62</v>
      </c>
      <c r="AD161" s="17">
        <f t="shared" si="49"/>
        <v>920.65</v>
      </c>
      <c r="AE161" s="17">
        <f t="shared" ca="1" si="50"/>
        <v>810.17200000000003</v>
      </c>
      <c r="AF161" s="17">
        <f t="shared" ca="1" si="51"/>
        <v>644.45499999999993</v>
      </c>
      <c r="AG161" s="17">
        <f t="shared" ca="1" si="52"/>
        <v>276.19500000000005</v>
      </c>
      <c r="AH161" s="15" t="str">
        <f t="shared" ca="1" si="53"/>
        <v>R$ 69,05 x 4 Parcelas</v>
      </c>
      <c r="AJ161" s="41">
        <f t="shared" si="54"/>
        <v>371.62</v>
      </c>
      <c r="AK161" s="42">
        <f t="shared" si="55"/>
        <v>920.65</v>
      </c>
      <c r="AL161" s="43">
        <f t="shared" ca="1" si="56"/>
        <v>856.20449999999994</v>
      </c>
      <c r="AM161" s="43">
        <f t="shared" ca="1" si="57"/>
        <v>552.39</v>
      </c>
      <c r="AN161" s="43">
        <f t="shared" ca="1" si="58"/>
        <v>484.58449999999993</v>
      </c>
      <c r="AO161" s="44" t="str">
        <f t="shared" ca="1" si="59"/>
        <v>R$ 121,15 x 4 Parcelas</v>
      </c>
    </row>
    <row r="162" spans="1:41" x14ac:dyDescent="0.3">
      <c r="A162" t="s">
        <v>364</v>
      </c>
      <c r="B162" t="s">
        <v>367</v>
      </c>
      <c r="C162" t="s">
        <v>368</v>
      </c>
      <c r="D162" t="s">
        <v>365</v>
      </c>
      <c r="E162" t="s">
        <v>366</v>
      </c>
      <c r="F162" t="s">
        <v>369</v>
      </c>
      <c r="G162" s="1">
        <v>725</v>
      </c>
      <c r="H162" t="s">
        <v>370</v>
      </c>
      <c r="I162" t="s">
        <v>29</v>
      </c>
      <c r="J162" t="s">
        <v>371</v>
      </c>
      <c r="K162" t="s">
        <v>372</v>
      </c>
      <c r="L162" t="s">
        <v>48</v>
      </c>
      <c r="M162" s="1">
        <v>10</v>
      </c>
      <c r="N162" s="4">
        <v>45417</v>
      </c>
      <c r="O162" s="2">
        <v>568.62</v>
      </c>
      <c r="P162" s="2">
        <v>380.98</v>
      </c>
      <c r="Q162" s="2">
        <v>11.37</v>
      </c>
      <c r="R162" s="2">
        <f t="shared" si="60"/>
        <v>949.6</v>
      </c>
      <c r="S162" t="s">
        <v>356</v>
      </c>
      <c r="T162" t="s">
        <v>0</v>
      </c>
      <c r="U162" s="5">
        <f t="shared" ca="1" si="43"/>
        <v>673</v>
      </c>
      <c r="V162" s="37">
        <f t="shared" ca="1" si="42"/>
        <v>380.98</v>
      </c>
      <c r="W162" s="38">
        <f t="shared" ca="1" si="44"/>
        <v>949.6</v>
      </c>
      <c r="X162" s="38">
        <f t="shared" ca="1" si="45"/>
        <v>949.6</v>
      </c>
      <c r="Y162" s="39">
        <f t="shared" ca="1" si="61"/>
        <v>0</v>
      </c>
      <c r="Z162" s="39">
        <f t="shared" ca="1" si="46"/>
        <v>949.6</v>
      </c>
      <c r="AA162" s="40" t="str">
        <f t="shared" ca="1" si="47"/>
        <v>R$ 949,60 x 1 Parcelas</v>
      </c>
      <c r="AC162" s="17">
        <f t="shared" si="48"/>
        <v>383.24</v>
      </c>
      <c r="AD162" s="17">
        <f t="shared" si="49"/>
        <v>949.6</v>
      </c>
      <c r="AE162" s="17">
        <f t="shared" ca="1" si="50"/>
        <v>835.64800000000002</v>
      </c>
      <c r="AF162" s="17">
        <f t="shared" ca="1" si="51"/>
        <v>664.72</v>
      </c>
      <c r="AG162" s="17">
        <f t="shared" ca="1" si="52"/>
        <v>284.88</v>
      </c>
      <c r="AH162" s="15" t="str">
        <f t="shared" ca="1" si="53"/>
        <v>R$ 71,22 x 4 Parcelas</v>
      </c>
      <c r="AJ162" s="41">
        <f t="shared" si="54"/>
        <v>383.24</v>
      </c>
      <c r="AK162" s="42">
        <f t="shared" si="55"/>
        <v>949.6</v>
      </c>
      <c r="AL162" s="43">
        <f t="shared" ca="1" si="56"/>
        <v>883.12799999999993</v>
      </c>
      <c r="AM162" s="43">
        <f t="shared" ca="1" si="57"/>
        <v>569.76</v>
      </c>
      <c r="AN162" s="43">
        <f t="shared" ca="1" si="58"/>
        <v>499.88799999999992</v>
      </c>
      <c r="AO162" s="44" t="str">
        <f t="shared" ca="1" si="59"/>
        <v>R$ 124,97 x 4 Parcelas</v>
      </c>
    </row>
    <row r="163" spans="1:41" x14ac:dyDescent="0.3">
      <c r="A163" t="s">
        <v>364</v>
      </c>
      <c r="B163" t="s">
        <v>367</v>
      </c>
      <c r="C163" t="s">
        <v>368</v>
      </c>
      <c r="D163" t="s">
        <v>365</v>
      </c>
      <c r="E163" t="s">
        <v>366</v>
      </c>
      <c r="F163" t="s">
        <v>369</v>
      </c>
      <c r="G163" s="1">
        <v>725</v>
      </c>
      <c r="H163" t="s">
        <v>370</v>
      </c>
      <c r="I163" t="s">
        <v>29</v>
      </c>
      <c r="J163" t="s">
        <v>371</v>
      </c>
      <c r="K163" t="s">
        <v>372</v>
      </c>
      <c r="L163" t="s">
        <v>48</v>
      </c>
      <c r="M163" s="1">
        <v>11</v>
      </c>
      <c r="N163" s="4">
        <v>45448</v>
      </c>
      <c r="O163" s="2">
        <v>568.62</v>
      </c>
      <c r="P163" s="2">
        <v>363.92</v>
      </c>
      <c r="Q163" s="2">
        <v>11.37</v>
      </c>
      <c r="R163" s="2">
        <f t="shared" si="60"/>
        <v>932.54</v>
      </c>
      <c r="S163" t="s">
        <v>356</v>
      </c>
      <c r="T163" t="s">
        <v>0</v>
      </c>
      <c r="U163" s="5">
        <f t="shared" ca="1" si="43"/>
        <v>642</v>
      </c>
      <c r="V163" s="37">
        <f t="shared" ca="1" si="42"/>
        <v>363.92</v>
      </c>
      <c r="W163" s="38">
        <f t="shared" ca="1" si="44"/>
        <v>932.54</v>
      </c>
      <c r="X163" s="38">
        <f t="shared" ca="1" si="45"/>
        <v>932.54</v>
      </c>
      <c r="Y163" s="39">
        <f t="shared" ca="1" si="61"/>
        <v>0</v>
      </c>
      <c r="Z163" s="39">
        <f t="shared" ca="1" si="46"/>
        <v>932.54</v>
      </c>
      <c r="AA163" s="40" t="str">
        <f t="shared" ca="1" si="47"/>
        <v>R$ 932,54 x 1 Parcelas</v>
      </c>
      <c r="AC163" s="17">
        <f t="shared" si="48"/>
        <v>366.18</v>
      </c>
      <c r="AD163" s="17">
        <f t="shared" si="49"/>
        <v>932.54</v>
      </c>
      <c r="AE163" s="17">
        <f t="shared" ca="1" si="50"/>
        <v>820.63519999999994</v>
      </c>
      <c r="AF163" s="17">
        <f t="shared" ca="1" si="51"/>
        <v>652.77799999999991</v>
      </c>
      <c r="AG163" s="17">
        <f t="shared" ca="1" si="52"/>
        <v>279.76200000000006</v>
      </c>
      <c r="AH163" s="15" t="str">
        <f t="shared" ca="1" si="53"/>
        <v>R$ 69,94 x 4 Parcelas</v>
      </c>
      <c r="AJ163" s="41">
        <f t="shared" si="54"/>
        <v>366.18</v>
      </c>
      <c r="AK163" s="42">
        <f t="shared" si="55"/>
        <v>932.54</v>
      </c>
      <c r="AL163" s="43">
        <f t="shared" ca="1" si="56"/>
        <v>867.26219999999989</v>
      </c>
      <c r="AM163" s="43">
        <f t="shared" ca="1" si="57"/>
        <v>559.524</v>
      </c>
      <c r="AN163" s="43">
        <f t="shared" ca="1" si="58"/>
        <v>501.08219999999989</v>
      </c>
      <c r="AO163" s="44" t="str">
        <f t="shared" ca="1" si="59"/>
        <v>R$ 125,27 x 4 Parcelas</v>
      </c>
    </row>
    <row r="164" spans="1:41" x14ac:dyDescent="0.3">
      <c r="A164" t="s">
        <v>380</v>
      </c>
      <c r="B164" t="s">
        <v>381</v>
      </c>
      <c r="C164" t="s">
        <v>382</v>
      </c>
      <c r="D164" t="s">
        <v>21</v>
      </c>
      <c r="E164" t="s">
        <v>383</v>
      </c>
      <c r="F164" t="s">
        <v>384</v>
      </c>
      <c r="G164" s="1">
        <v>595</v>
      </c>
      <c r="H164" t="s">
        <v>305</v>
      </c>
      <c r="I164" t="s">
        <v>29</v>
      </c>
      <c r="J164" t="s">
        <v>385</v>
      </c>
      <c r="K164" t="s">
        <v>386</v>
      </c>
      <c r="L164" t="s">
        <v>48</v>
      </c>
      <c r="M164" s="1">
        <v>2</v>
      </c>
      <c r="N164" s="4">
        <v>45458</v>
      </c>
      <c r="O164" s="2">
        <v>113.17</v>
      </c>
      <c r="P164" s="2">
        <v>71.069999999999993</v>
      </c>
      <c r="Q164" s="2">
        <v>2.2599999999999998</v>
      </c>
      <c r="R164" s="2">
        <f t="shared" si="60"/>
        <v>184.24</v>
      </c>
      <c r="S164" t="s">
        <v>356</v>
      </c>
      <c r="T164" t="s">
        <v>387</v>
      </c>
      <c r="U164" s="5">
        <f t="shared" ca="1" si="43"/>
        <v>632</v>
      </c>
      <c r="V164" s="37">
        <f t="shared" ca="1" si="42"/>
        <v>71.069999999999993</v>
      </c>
      <c r="W164" s="38">
        <f t="shared" ca="1" si="44"/>
        <v>184.24</v>
      </c>
      <c r="X164" s="38">
        <f t="shared" ca="1" si="45"/>
        <v>184.24</v>
      </c>
      <c r="Y164" s="39">
        <f t="shared" ca="1" si="61"/>
        <v>0</v>
      </c>
      <c r="Z164" s="39">
        <f t="shared" ca="1" si="46"/>
        <v>184.24</v>
      </c>
      <c r="AA164" s="40" t="str">
        <f t="shared" ca="1" si="47"/>
        <v>R$ 184,24 x 1 Parcelas</v>
      </c>
      <c r="AC164" s="17">
        <f t="shared" si="48"/>
        <v>73.33</v>
      </c>
      <c r="AD164" s="17">
        <f t="shared" si="49"/>
        <v>184.24</v>
      </c>
      <c r="AE164" s="17">
        <f t="shared" ca="1" si="50"/>
        <v>162.13120000000001</v>
      </c>
      <c r="AF164" s="17">
        <f t="shared" ca="1" si="51"/>
        <v>128.96799999999999</v>
      </c>
      <c r="AG164" s="17">
        <f t="shared" ca="1" si="52"/>
        <v>55.27200000000002</v>
      </c>
      <c r="AH164" s="15" t="str">
        <f t="shared" ca="1" si="53"/>
        <v>R$ 13,82 x 4 Parcelas</v>
      </c>
      <c r="AJ164" s="41">
        <f t="shared" si="54"/>
        <v>73.33</v>
      </c>
      <c r="AK164" s="42">
        <f t="shared" si="55"/>
        <v>184.24</v>
      </c>
      <c r="AL164" s="43">
        <f t="shared" ca="1" si="56"/>
        <v>171.3432</v>
      </c>
      <c r="AM164" s="43">
        <f t="shared" ca="1" si="57"/>
        <v>110.544</v>
      </c>
      <c r="AN164" s="43">
        <f t="shared" ca="1" si="58"/>
        <v>98.013199999999998</v>
      </c>
      <c r="AO164" s="44" t="str">
        <f t="shared" ca="1" si="59"/>
        <v>R$ 24,50 x 4 Parcelas</v>
      </c>
    </row>
    <row r="165" spans="1:41" x14ac:dyDescent="0.3">
      <c r="A165" t="s">
        <v>364</v>
      </c>
      <c r="B165" t="s">
        <v>367</v>
      </c>
      <c r="C165" t="s">
        <v>368</v>
      </c>
      <c r="D165" t="s">
        <v>365</v>
      </c>
      <c r="E165" t="s">
        <v>366</v>
      </c>
      <c r="F165" t="s">
        <v>369</v>
      </c>
      <c r="G165" s="1">
        <v>725</v>
      </c>
      <c r="H165" t="s">
        <v>370</v>
      </c>
      <c r="I165" t="s">
        <v>29</v>
      </c>
      <c r="J165" t="s">
        <v>371</v>
      </c>
      <c r="K165" t="s">
        <v>372</v>
      </c>
      <c r="L165" t="s">
        <v>48</v>
      </c>
      <c r="M165" s="1">
        <v>12</v>
      </c>
      <c r="N165" s="4">
        <v>45478</v>
      </c>
      <c r="O165" s="2">
        <v>568.62</v>
      </c>
      <c r="P165" s="2">
        <v>346.86</v>
      </c>
      <c r="Q165" s="2">
        <v>11.37</v>
      </c>
      <c r="R165" s="2">
        <f t="shared" si="60"/>
        <v>915.48</v>
      </c>
      <c r="S165" t="s">
        <v>356</v>
      </c>
      <c r="T165" t="s">
        <v>0</v>
      </c>
      <c r="U165" s="5">
        <f t="shared" ca="1" si="43"/>
        <v>612</v>
      </c>
      <c r="V165" s="37">
        <f t="shared" ca="1" si="42"/>
        <v>346.86</v>
      </c>
      <c r="W165" s="38">
        <f t="shared" ca="1" si="44"/>
        <v>915.48</v>
      </c>
      <c r="X165" s="38">
        <f t="shared" ca="1" si="45"/>
        <v>915.48</v>
      </c>
      <c r="Y165" s="39">
        <f t="shared" ca="1" si="61"/>
        <v>0</v>
      </c>
      <c r="Z165" s="39">
        <f t="shared" ca="1" si="46"/>
        <v>915.48</v>
      </c>
      <c r="AA165" s="40" t="str">
        <f t="shared" ca="1" si="47"/>
        <v>R$ 915,48 x 1 Parcelas</v>
      </c>
      <c r="AC165" s="17">
        <f t="shared" si="48"/>
        <v>349.57</v>
      </c>
      <c r="AD165" s="17">
        <f t="shared" si="49"/>
        <v>915.48</v>
      </c>
      <c r="AE165" s="17">
        <f t="shared" ca="1" si="50"/>
        <v>805.62239999999997</v>
      </c>
      <c r="AF165" s="17">
        <f t="shared" ca="1" si="51"/>
        <v>640.83600000000001</v>
      </c>
      <c r="AG165" s="17">
        <f t="shared" ca="1" si="52"/>
        <v>274.64400000000001</v>
      </c>
      <c r="AH165" s="15" t="str">
        <f t="shared" ca="1" si="53"/>
        <v>R$ 68,66 x 4 Parcelas</v>
      </c>
      <c r="AJ165" s="41">
        <f t="shared" si="54"/>
        <v>349.57</v>
      </c>
      <c r="AK165" s="42">
        <f t="shared" si="55"/>
        <v>915.48</v>
      </c>
      <c r="AL165" s="43">
        <f t="shared" ca="1" si="56"/>
        <v>851.39639999999997</v>
      </c>
      <c r="AM165" s="43">
        <f t="shared" ca="1" si="57"/>
        <v>549.28800000000001</v>
      </c>
      <c r="AN165" s="43">
        <f t="shared" ca="1" si="58"/>
        <v>501.82639999999998</v>
      </c>
      <c r="AO165" s="44" t="str">
        <f t="shared" ca="1" si="59"/>
        <v>R$ 125,46 x 4 Parcelas</v>
      </c>
    </row>
    <row r="166" spans="1:41" x14ac:dyDescent="0.3">
      <c r="A166" t="s">
        <v>388</v>
      </c>
      <c r="B166" t="s">
        <v>389</v>
      </c>
      <c r="C166" t="s">
        <v>390</v>
      </c>
      <c r="D166" t="s">
        <v>391</v>
      </c>
      <c r="E166" t="s">
        <v>392</v>
      </c>
      <c r="F166" t="s">
        <v>393</v>
      </c>
      <c r="G166" s="1">
        <v>5147</v>
      </c>
      <c r="H166" t="s">
        <v>394</v>
      </c>
      <c r="I166" t="s">
        <v>29</v>
      </c>
      <c r="J166" t="s">
        <v>395</v>
      </c>
      <c r="K166" t="s">
        <v>396</v>
      </c>
      <c r="L166" t="s">
        <v>48</v>
      </c>
      <c r="M166" s="1">
        <v>3</v>
      </c>
      <c r="N166" s="4">
        <v>45483</v>
      </c>
      <c r="O166" s="2">
        <v>122.01</v>
      </c>
      <c r="P166" s="2">
        <v>24.61</v>
      </c>
      <c r="Q166" s="2">
        <v>2.44</v>
      </c>
      <c r="R166" s="2">
        <f t="shared" si="60"/>
        <v>146.62</v>
      </c>
      <c r="S166" t="s">
        <v>356</v>
      </c>
      <c r="T166" t="s">
        <v>387</v>
      </c>
      <c r="U166" s="5">
        <f t="shared" ca="1" si="43"/>
        <v>607</v>
      </c>
      <c r="V166" s="37">
        <f t="shared" ca="1" si="42"/>
        <v>24.61</v>
      </c>
      <c r="W166" s="38">
        <f t="shared" ca="1" si="44"/>
        <v>146.62</v>
      </c>
      <c r="X166" s="38">
        <f t="shared" ca="1" si="45"/>
        <v>146.62</v>
      </c>
      <c r="Y166" s="39">
        <f t="shared" ca="1" si="61"/>
        <v>0</v>
      </c>
      <c r="Z166" s="39">
        <f t="shared" ca="1" si="46"/>
        <v>146.62</v>
      </c>
      <c r="AA166" s="40" t="str">
        <f t="shared" ca="1" si="47"/>
        <v>R$ 146,62 x 1 Parcelas</v>
      </c>
      <c r="AC166" s="17">
        <f t="shared" si="48"/>
        <v>27.05</v>
      </c>
      <c r="AD166" s="17">
        <f t="shared" si="49"/>
        <v>146.62</v>
      </c>
      <c r="AE166" s="17">
        <f t="shared" ca="1" si="50"/>
        <v>129.0256</v>
      </c>
      <c r="AF166" s="17">
        <f t="shared" ca="1" si="51"/>
        <v>102.634</v>
      </c>
      <c r="AG166" s="17">
        <f t="shared" ca="1" si="52"/>
        <v>43.986000000000004</v>
      </c>
      <c r="AH166" s="15" t="str">
        <f t="shared" ca="1" si="53"/>
        <v>R$ 11,00 x 4 Parcelas</v>
      </c>
      <c r="AJ166" s="41">
        <f t="shared" si="54"/>
        <v>27.05</v>
      </c>
      <c r="AK166" s="42">
        <f t="shared" si="55"/>
        <v>146.62</v>
      </c>
      <c r="AL166" s="43">
        <f t="shared" ca="1" si="56"/>
        <v>136.35659999999999</v>
      </c>
      <c r="AM166" s="43">
        <f t="shared" ca="1" si="57"/>
        <v>87.971999999999994</v>
      </c>
      <c r="AN166" s="43">
        <f t="shared" ca="1" si="58"/>
        <v>109.30659999999999</v>
      </c>
      <c r="AO166" s="44" t="str">
        <f t="shared" ca="1" si="59"/>
        <v>R$ 27,33 x 4 Parcelas</v>
      </c>
    </row>
    <row r="167" spans="1:41" x14ac:dyDescent="0.3">
      <c r="A167" t="s">
        <v>380</v>
      </c>
      <c r="B167" t="s">
        <v>381</v>
      </c>
      <c r="C167" t="s">
        <v>382</v>
      </c>
      <c r="D167" t="s">
        <v>21</v>
      </c>
      <c r="E167" t="s">
        <v>383</v>
      </c>
      <c r="F167" t="s">
        <v>384</v>
      </c>
      <c r="G167" s="1">
        <v>595</v>
      </c>
      <c r="H167" t="s">
        <v>305</v>
      </c>
      <c r="I167" t="s">
        <v>29</v>
      </c>
      <c r="J167" t="s">
        <v>385</v>
      </c>
      <c r="K167" t="s">
        <v>386</v>
      </c>
      <c r="L167" t="s">
        <v>48</v>
      </c>
      <c r="M167" s="1">
        <v>3</v>
      </c>
      <c r="N167" s="4">
        <v>45488</v>
      </c>
      <c r="O167" s="2">
        <v>113.17</v>
      </c>
      <c r="P167" s="2">
        <v>67.900000000000006</v>
      </c>
      <c r="Q167" s="2">
        <v>2.2599999999999998</v>
      </c>
      <c r="R167" s="2">
        <f t="shared" si="60"/>
        <v>181.07</v>
      </c>
      <c r="S167" t="s">
        <v>356</v>
      </c>
      <c r="T167" t="s">
        <v>387</v>
      </c>
      <c r="U167" s="5">
        <f t="shared" ca="1" si="43"/>
        <v>602</v>
      </c>
      <c r="V167" s="37">
        <f t="shared" ca="1" si="42"/>
        <v>67.900000000000006</v>
      </c>
      <c r="W167" s="38">
        <f t="shared" ca="1" si="44"/>
        <v>181.07</v>
      </c>
      <c r="X167" s="38">
        <f t="shared" ca="1" si="45"/>
        <v>181.07</v>
      </c>
      <c r="Y167" s="39">
        <f t="shared" ca="1" si="61"/>
        <v>0</v>
      </c>
      <c r="Z167" s="39">
        <f t="shared" ca="1" si="46"/>
        <v>181.07</v>
      </c>
      <c r="AA167" s="40" t="str">
        <f t="shared" ca="1" si="47"/>
        <v>R$ 181,07 x 1 Parcelas</v>
      </c>
      <c r="AC167" s="17">
        <f t="shared" si="48"/>
        <v>70.56</v>
      </c>
      <c r="AD167" s="17">
        <f t="shared" si="49"/>
        <v>181.07</v>
      </c>
      <c r="AE167" s="17">
        <f t="shared" ca="1" si="50"/>
        <v>159.3416</v>
      </c>
      <c r="AF167" s="17">
        <f t="shared" ca="1" si="51"/>
        <v>126.74899999999998</v>
      </c>
      <c r="AG167" s="17">
        <f t="shared" ca="1" si="52"/>
        <v>54.321000000000012</v>
      </c>
      <c r="AH167" s="15" t="str">
        <f t="shared" ca="1" si="53"/>
        <v>R$ 13,58 x 4 Parcelas</v>
      </c>
      <c r="AJ167" s="41">
        <f t="shared" si="54"/>
        <v>70.56</v>
      </c>
      <c r="AK167" s="42">
        <f t="shared" si="55"/>
        <v>181.07</v>
      </c>
      <c r="AL167" s="43">
        <f t="shared" ca="1" si="56"/>
        <v>168.39509999999999</v>
      </c>
      <c r="AM167" s="43">
        <f t="shared" ca="1" si="57"/>
        <v>108.642</v>
      </c>
      <c r="AN167" s="43">
        <f t="shared" ca="1" si="58"/>
        <v>97.835099999999983</v>
      </c>
      <c r="AO167" s="44" t="str">
        <f t="shared" ca="1" si="59"/>
        <v>R$ 24,46 x 4 Parcelas</v>
      </c>
    </row>
    <row r="168" spans="1:41" x14ac:dyDescent="0.3">
      <c r="A168" t="s">
        <v>388</v>
      </c>
      <c r="B168" t="s">
        <v>389</v>
      </c>
      <c r="C168" t="s">
        <v>390</v>
      </c>
      <c r="D168" t="s">
        <v>391</v>
      </c>
      <c r="E168" t="s">
        <v>392</v>
      </c>
      <c r="F168" t="s">
        <v>393</v>
      </c>
      <c r="G168" s="1">
        <v>5147</v>
      </c>
      <c r="H168" t="s">
        <v>394</v>
      </c>
      <c r="I168" t="s">
        <v>29</v>
      </c>
      <c r="J168" t="s">
        <v>395</v>
      </c>
      <c r="K168" t="s">
        <v>396</v>
      </c>
      <c r="L168" t="s">
        <v>48</v>
      </c>
      <c r="M168" s="1">
        <v>4</v>
      </c>
      <c r="N168" s="4">
        <v>45514</v>
      </c>
      <c r="O168" s="2">
        <v>122.01</v>
      </c>
      <c r="P168" s="2">
        <v>23.26</v>
      </c>
      <c r="Q168" s="2">
        <v>2.44</v>
      </c>
      <c r="R168" s="2">
        <f t="shared" si="60"/>
        <v>145.27000000000001</v>
      </c>
      <c r="S168" t="s">
        <v>356</v>
      </c>
      <c r="T168" t="s">
        <v>387</v>
      </c>
      <c r="U168" s="5">
        <f t="shared" ca="1" si="43"/>
        <v>576</v>
      </c>
      <c r="V168" s="37">
        <f t="shared" ca="1" si="42"/>
        <v>23.26</v>
      </c>
      <c r="W168" s="38">
        <f t="shared" ca="1" si="44"/>
        <v>145.27000000000001</v>
      </c>
      <c r="X168" s="38">
        <f t="shared" ca="1" si="45"/>
        <v>145.27000000000001</v>
      </c>
      <c r="Y168" s="39">
        <f t="shared" ca="1" si="61"/>
        <v>0</v>
      </c>
      <c r="Z168" s="39">
        <f t="shared" ca="1" si="46"/>
        <v>145.27000000000001</v>
      </c>
      <c r="AA168" s="40" t="str">
        <f t="shared" ca="1" si="47"/>
        <v>R$ 145,27 x 1 Parcelas</v>
      </c>
      <c r="AC168" s="17">
        <f t="shared" si="48"/>
        <v>25.92</v>
      </c>
      <c r="AD168" s="17">
        <f t="shared" si="49"/>
        <v>145.27000000000001</v>
      </c>
      <c r="AE168" s="17">
        <f t="shared" ca="1" si="50"/>
        <v>127.83760000000001</v>
      </c>
      <c r="AF168" s="17">
        <f t="shared" ca="1" si="51"/>
        <v>101.68900000000001</v>
      </c>
      <c r="AG168" s="17">
        <f t="shared" ca="1" si="52"/>
        <v>43.581000000000003</v>
      </c>
      <c r="AH168" s="15" t="str">
        <f t="shared" ca="1" si="53"/>
        <v>R$ 10,90 x 4 Parcelas</v>
      </c>
      <c r="AJ168" s="41">
        <f t="shared" si="54"/>
        <v>25.92</v>
      </c>
      <c r="AK168" s="42">
        <f t="shared" si="55"/>
        <v>145.27000000000001</v>
      </c>
      <c r="AL168" s="43">
        <f t="shared" ca="1" si="56"/>
        <v>135.1011</v>
      </c>
      <c r="AM168" s="43">
        <f t="shared" ca="1" si="57"/>
        <v>87.162000000000006</v>
      </c>
      <c r="AN168" s="43">
        <f t="shared" ca="1" si="58"/>
        <v>109.1811</v>
      </c>
      <c r="AO168" s="44" t="str">
        <f t="shared" ca="1" si="59"/>
        <v>R$ 27,30 x 4 Parcelas</v>
      </c>
    </row>
    <row r="169" spans="1:41" x14ac:dyDescent="0.3">
      <c r="A169" t="s">
        <v>380</v>
      </c>
      <c r="B169" t="s">
        <v>381</v>
      </c>
      <c r="C169" t="s">
        <v>382</v>
      </c>
      <c r="D169" t="s">
        <v>21</v>
      </c>
      <c r="E169" t="s">
        <v>383</v>
      </c>
      <c r="F169" t="s">
        <v>384</v>
      </c>
      <c r="G169" s="1">
        <v>595</v>
      </c>
      <c r="H169" t="s">
        <v>305</v>
      </c>
      <c r="I169" t="s">
        <v>29</v>
      </c>
      <c r="J169" t="s">
        <v>385</v>
      </c>
      <c r="K169" t="s">
        <v>386</v>
      </c>
      <c r="L169" t="s">
        <v>48</v>
      </c>
      <c r="M169" s="1">
        <v>4</v>
      </c>
      <c r="N169" s="4">
        <v>45519</v>
      </c>
      <c r="O169" s="2">
        <v>113.17</v>
      </c>
      <c r="P169" s="2">
        <v>64.39</v>
      </c>
      <c r="Q169" s="2">
        <v>2.2599999999999998</v>
      </c>
      <c r="R169" s="2">
        <f t="shared" si="60"/>
        <v>177.56</v>
      </c>
      <c r="S169" t="s">
        <v>356</v>
      </c>
      <c r="T169" t="s">
        <v>387</v>
      </c>
      <c r="U169" s="5">
        <f t="shared" ca="1" si="43"/>
        <v>571</v>
      </c>
      <c r="V169" s="37">
        <f t="shared" ca="1" si="42"/>
        <v>64.39</v>
      </c>
      <c r="W169" s="38">
        <f t="shared" ca="1" si="44"/>
        <v>177.56</v>
      </c>
      <c r="X169" s="38">
        <f t="shared" ca="1" si="45"/>
        <v>177.56</v>
      </c>
      <c r="Y169" s="39">
        <f t="shared" ca="1" si="61"/>
        <v>0</v>
      </c>
      <c r="Z169" s="39">
        <f t="shared" ca="1" si="46"/>
        <v>177.56</v>
      </c>
      <c r="AA169" s="40" t="str">
        <f t="shared" ca="1" si="47"/>
        <v>R$ 177,56 x 1 Parcelas</v>
      </c>
      <c r="AC169" s="17">
        <f t="shared" si="48"/>
        <v>66.650000000000006</v>
      </c>
      <c r="AD169" s="17">
        <f t="shared" si="49"/>
        <v>177.56</v>
      </c>
      <c r="AE169" s="17">
        <f t="shared" ca="1" si="50"/>
        <v>156.25280000000001</v>
      </c>
      <c r="AF169" s="17">
        <f t="shared" ca="1" si="51"/>
        <v>124.29199999999999</v>
      </c>
      <c r="AG169" s="17">
        <f t="shared" ca="1" si="52"/>
        <v>53.268000000000015</v>
      </c>
      <c r="AH169" s="15" t="str">
        <f t="shared" ca="1" si="53"/>
        <v>R$ 13,32 x 4 Parcelas</v>
      </c>
      <c r="AJ169" s="41">
        <f t="shared" si="54"/>
        <v>66.650000000000006</v>
      </c>
      <c r="AK169" s="42">
        <f t="shared" si="55"/>
        <v>177.56</v>
      </c>
      <c r="AL169" s="43">
        <f t="shared" ca="1" si="56"/>
        <v>165.13079999999999</v>
      </c>
      <c r="AM169" s="43">
        <f t="shared" ca="1" si="57"/>
        <v>106.536</v>
      </c>
      <c r="AN169" s="43">
        <f t="shared" ca="1" si="58"/>
        <v>98.480799999999988</v>
      </c>
      <c r="AO169" s="44" t="str">
        <f t="shared" ca="1" si="59"/>
        <v>R$ 24,62 x 4 Parcelas</v>
      </c>
    </row>
    <row r="170" spans="1:41" x14ac:dyDescent="0.3">
      <c r="A170" t="s">
        <v>380</v>
      </c>
      <c r="B170" t="s">
        <v>381</v>
      </c>
      <c r="C170" t="s">
        <v>382</v>
      </c>
      <c r="D170" t="s">
        <v>21</v>
      </c>
      <c r="E170" t="s">
        <v>383</v>
      </c>
      <c r="F170" t="s">
        <v>384</v>
      </c>
      <c r="G170" s="1">
        <v>595</v>
      </c>
      <c r="H170" t="s">
        <v>305</v>
      </c>
      <c r="I170" t="s">
        <v>29</v>
      </c>
      <c r="J170" t="s">
        <v>385</v>
      </c>
      <c r="K170" t="s">
        <v>386</v>
      </c>
      <c r="L170" t="s">
        <v>48</v>
      </c>
      <c r="M170" s="1">
        <v>4</v>
      </c>
      <c r="N170" s="4">
        <v>45519</v>
      </c>
      <c r="O170" s="2">
        <v>113.17</v>
      </c>
      <c r="P170" s="2">
        <v>64.39</v>
      </c>
      <c r="Q170" s="2">
        <v>2.2599999999999998</v>
      </c>
      <c r="R170" s="2">
        <f t="shared" si="60"/>
        <v>177.56</v>
      </c>
      <c r="S170" t="s">
        <v>356</v>
      </c>
      <c r="T170" t="s">
        <v>387</v>
      </c>
      <c r="U170" s="5">
        <f t="shared" ca="1" si="43"/>
        <v>571</v>
      </c>
      <c r="V170" s="37">
        <f t="shared" ca="1" si="42"/>
        <v>64.39</v>
      </c>
      <c r="W170" s="38">
        <f t="shared" ca="1" si="44"/>
        <v>177.56</v>
      </c>
      <c r="X170" s="38">
        <f t="shared" ca="1" si="45"/>
        <v>177.56</v>
      </c>
      <c r="Y170" s="39">
        <f t="shared" ca="1" si="61"/>
        <v>0</v>
      </c>
      <c r="Z170" s="39">
        <f t="shared" ca="1" si="46"/>
        <v>177.56</v>
      </c>
      <c r="AA170" s="40" t="str">
        <f t="shared" ca="1" si="47"/>
        <v>R$ 177,56 x 1 Parcelas</v>
      </c>
      <c r="AC170" s="17">
        <f t="shared" si="48"/>
        <v>66.650000000000006</v>
      </c>
      <c r="AD170" s="17">
        <f t="shared" si="49"/>
        <v>177.56</v>
      </c>
      <c r="AE170" s="17">
        <f t="shared" ca="1" si="50"/>
        <v>156.25280000000001</v>
      </c>
      <c r="AF170" s="17">
        <f t="shared" ca="1" si="51"/>
        <v>124.29199999999999</v>
      </c>
      <c r="AG170" s="17">
        <f t="shared" ca="1" si="52"/>
        <v>53.268000000000015</v>
      </c>
      <c r="AH170" s="15" t="str">
        <f t="shared" ca="1" si="53"/>
        <v>R$ 13,32 x 4 Parcelas</v>
      </c>
      <c r="AJ170" s="41">
        <f t="shared" si="54"/>
        <v>66.650000000000006</v>
      </c>
      <c r="AK170" s="42">
        <f t="shared" si="55"/>
        <v>177.56</v>
      </c>
      <c r="AL170" s="43">
        <f t="shared" ca="1" si="56"/>
        <v>165.13079999999999</v>
      </c>
      <c r="AM170" s="43">
        <f t="shared" ca="1" si="57"/>
        <v>106.536</v>
      </c>
      <c r="AN170" s="43">
        <f t="shared" ca="1" si="58"/>
        <v>98.480799999999988</v>
      </c>
      <c r="AO170" s="44" t="str">
        <f t="shared" ca="1" si="59"/>
        <v>R$ 24,62 x 4 Parcelas</v>
      </c>
    </row>
    <row r="171" spans="1:41" x14ac:dyDescent="0.3">
      <c r="A171" t="s">
        <v>398</v>
      </c>
      <c r="B171" t="s">
        <v>399</v>
      </c>
      <c r="C171" t="s">
        <v>400</v>
      </c>
      <c r="D171" t="s">
        <v>21</v>
      </c>
      <c r="E171" t="s">
        <v>397</v>
      </c>
      <c r="F171" t="s">
        <v>401</v>
      </c>
      <c r="G171" s="1">
        <v>114</v>
      </c>
      <c r="H171" t="s">
        <v>402</v>
      </c>
      <c r="I171" t="s">
        <v>29</v>
      </c>
      <c r="J171" t="s">
        <v>403</v>
      </c>
      <c r="K171" t="s">
        <v>404</v>
      </c>
      <c r="L171" t="s">
        <v>48</v>
      </c>
      <c r="M171" s="1">
        <v>1</v>
      </c>
      <c r="N171" s="4">
        <v>45538</v>
      </c>
      <c r="O171" s="2">
        <v>490.39</v>
      </c>
      <c r="P171" s="2">
        <v>269.70999999999998</v>
      </c>
      <c r="Q171" s="2">
        <v>9.81</v>
      </c>
      <c r="R171" s="2">
        <f t="shared" si="60"/>
        <v>760.09999999999991</v>
      </c>
      <c r="S171" t="s">
        <v>356</v>
      </c>
      <c r="T171" t="s">
        <v>387</v>
      </c>
      <c r="U171" s="5">
        <f t="shared" ca="1" si="43"/>
        <v>552</v>
      </c>
      <c r="V171" s="37">
        <f t="shared" ca="1" si="42"/>
        <v>269.70999999999998</v>
      </c>
      <c r="W171" s="38">
        <f t="shared" ca="1" si="44"/>
        <v>760.09999999999991</v>
      </c>
      <c r="X171" s="38">
        <f t="shared" ca="1" si="45"/>
        <v>760.09999999999991</v>
      </c>
      <c r="Y171" s="39">
        <f t="shared" ca="1" si="61"/>
        <v>0</v>
      </c>
      <c r="Z171" s="39">
        <f t="shared" ca="1" si="46"/>
        <v>760.09999999999991</v>
      </c>
      <c r="AA171" s="40" t="str">
        <f t="shared" ca="1" si="47"/>
        <v>R$ 760,10 x 1 Parcelas</v>
      </c>
      <c r="AC171" s="17">
        <f t="shared" si="48"/>
        <v>271.96999999999997</v>
      </c>
      <c r="AD171" s="17">
        <f t="shared" si="49"/>
        <v>760.09999999999991</v>
      </c>
      <c r="AE171" s="17">
        <f t="shared" ca="1" si="50"/>
        <v>668.88799999999992</v>
      </c>
      <c r="AF171" s="17">
        <f t="shared" ca="1" si="51"/>
        <v>532.06999999999994</v>
      </c>
      <c r="AG171" s="17">
        <f t="shared" ca="1" si="52"/>
        <v>228.02999999999997</v>
      </c>
      <c r="AH171" s="15" t="str">
        <f t="shared" ca="1" si="53"/>
        <v>R$ 57,01 x 4 Parcelas</v>
      </c>
      <c r="AJ171" s="41">
        <f t="shared" si="54"/>
        <v>271.96999999999997</v>
      </c>
      <c r="AK171" s="42">
        <f t="shared" si="55"/>
        <v>760.09999999999991</v>
      </c>
      <c r="AL171" s="43">
        <f t="shared" ca="1" si="56"/>
        <v>706.89299999999992</v>
      </c>
      <c r="AM171" s="43">
        <f t="shared" ca="1" si="57"/>
        <v>456.05999999999995</v>
      </c>
      <c r="AN171" s="43">
        <f t="shared" ca="1" si="58"/>
        <v>434.92299999999994</v>
      </c>
      <c r="AO171" s="44" t="str">
        <f t="shared" ca="1" si="59"/>
        <v>R$ 108,73 x 4 Parcelas</v>
      </c>
    </row>
    <row r="172" spans="1:41" x14ac:dyDescent="0.3">
      <c r="A172" t="s">
        <v>398</v>
      </c>
      <c r="B172" t="s">
        <v>399</v>
      </c>
      <c r="C172" t="s">
        <v>400</v>
      </c>
      <c r="D172" t="s">
        <v>21</v>
      </c>
      <c r="E172" t="s">
        <v>397</v>
      </c>
      <c r="F172" t="s">
        <v>401</v>
      </c>
      <c r="G172" s="1">
        <v>114</v>
      </c>
      <c r="H172" t="s">
        <v>402</v>
      </c>
      <c r="I172" t="s">
        <v>29</v>
      </c>
      <c r="J172" t="s">
        <v>403</v>
      </c>
      <c r="K172" t="s">
        <v>404</v>
      </c>
      <c r="L172" t="s">
        <v>48</v>
      </c>
      <c r="M172" s="1">
        <v>1</v>
      </c>
      <c r="N172" s="4">
        <v>45538</v>
      </c>
      <c r="O172" s="2">
        <v>153.38</v>
      </c>
      <c r="P172" s="2">
        <v>84.36</v>
      </c>
      <c r="Q172" s="2">
        <v>3.07</v>
      </c>
      <c r="R172" s="2">
        <f t="shared" si="60"/>
        <v>237.74</v>
      </c>
      <c r="S172" t="s">
        <v>356</v>
      </c>
      <c r="T172" t="s">
        <v>245</v>
      </c>
      <c r="U172" s="5">
        <f t="shared" ca="1" si="43"/>
        <v>552</v>
      </c>
      <c r="V172" s="37">
        <f t="shared" ca="1" si="42"/>
        <v>84.36</v>
      </c>
      <c r="W172" s="38">
        <f t="shared" ca="1" si="44"/>
        <v>237.74</v>
      </c>
      <c r="X172" s="38">
        <f t="shared" ca="1" si="45"/>
        <v>237.74</v>
      </c>
      <c r="Y172" s="39">
        <f t="shared" ca="1" si="61"/>
        <v>0</v>
      </c>
      <c r="Z172" s="39">
        <f t="shared" ca="1" si="46"/>
        <v>237.74</v>
      </c>
      <c r="AA172" s="40" t="str">
        <f t="shared" ca="1" si="47"/>
        <v>R$ 237,74 x 1 Parcelas</v>
      </c>
      <c r="AC172" s="17">
        <f t="shared" si="48"/>
        <v>89.64</v>
      </c>
      <c r="AD172" s="17">
        <f t="shared" si="49"/>
        <v>237.74</v>
      </c>
      <c r="AE172" s="17">
        <f t="shared" ca="1" si="50"/>
        <v>209.21120000000002</v>
      </c>
      <c r="AF172" s="17">
        <f t="shared" ca="1" si="51"/>
        <v>166.41800000000001</v>
      </c>
      <c r="AG172" s="17">
        <f t="shared" ca="1" si="52"/>
        <v>71.322000000000003</v>
      </c>
      <c r="AH172" s="15" t="str">
        <f t="shared" ca="1" si="53"/>
        <v>R$ 17,83 x 4 Parcelas</v>
      </c>
      <c r="AJ172" s="41">
        <f t="shared" si="54"/>
        <v>89.64</v>
      </c>
      <c r="AK172" s="42">
        <f t="shared" si="55"/>
        <v>237.74</v>
      </c>
      <c r="AL172" s="43">
        <f t="shared" ca="1" si="56"/>
        <v>221.09819999999999</v>
      </c>
      <c r="AM172" s="43">
        <f t="shared" ca="1" si="57"/>
        <v>142.64400000000001</v>
      </c>
      <c r="AN172" s="43">
        <f t="shared" ca="1" si="58"/>
        <v>131.45819999999998</v>
      </c>
      <c r="AO172" s="44" t="str">
        <f t="shared" ca="1" si="59"/>
        <v>R$ 32,86 x 4 Parcelas</v>
      </c>
    </row>
    <row r="173" spans="1:41" x14ac:dyDescent="0.3">
      <c r="A173" t="s">
        <v>388</v>
      </c>
      <c r="B173" t="s">
        <v>389</v>
      </c>
      <c r="C173" t="s">
        <v>390</v>
      </c>
      <c r="D173" t="s">
        <v>391</v>
      </c>
      <c r="E173" t="s">
        <v>392</v>
      </c>
      <c r="F173" t="s">
        <v>393</v>
      </c>
      <c r="G173" s="1">
        <v>5147</v>
      </c>
      <c r="H173" t="s">
        <v>394</v>
      </c>
      <c r="I173" t="s">
        <v>29</v>
      </c>
      <c r="J173" t="s">
        <v>395</v>
      </c>
      <c r="K173" t="s">
        <v>396</v>
      </c>
      <c r="L173" t="s">
        <v>48</v>
      </c>
      <c r="M173" s="1">
        <v>5</v>
      </c>
      <c r="N173" s="4">
        <v>45545</v>
      </c>
      <c r="O173" s="2">
        <v>122.01</v>
      </c>
      <c r="P173" s="2">
        <v>22.08</v>
      </c>
      <c r="Q173" s="2">
        <v>2.44</v>
      </c>
      <c r="R173" s="2">
        <f t="shared" si="60"/>
        <v>144.09</v>
      </c>
      <c r="S173" t="s">
        <v>356</v>
      </c>
      <c r="T173" t="s">
        <v>387</v>
      </c>
      <c r="U173" s="5">
        <f t="shared" ca="1" si="43"/>
        <v>545</v>
      </c>
      <c r="V173" s="37">
        <f t="shared" ca="1" si="42"/>
        <v>22.08</v>
      </c>
      <c r="W173" s="38">
        <f t="shared" ca="1" si="44"/>
        <v>144.09</v>
      </c>
      <c r="X173" s="38">
        <f t="shared" ca="1" si="45"/>
        <v>144.09</v>
      </c>
      <c r="Y173" s="39">
        <f t="shared" ca="1" si="61"/>
        <v>0</v>
      </c>
      <c r="Z173" s="39">
        <f t="shared" ca="1" si="46"/>
        <v>144.09</v>
      </c>
      <c r="AA173" s="40" t="str">
        <f t="shared" ca="1" si="47"/>
        <v>R$ 144,09 x 1 Parcelas</v>
      </c>
      <c r="AC173" s="17">
        <f t="shared" si="48"/>
        <v>25.979999999999997</v>
      </c>
      <c r="AD173" s="17">
        <f t="shared" si="49"/>
        <v>144.09</v>
      </c>
      <c r="AE173" s="17">
        <f t="shared" ca="1" si="50"/>
        <v>126.7992</v>
      </c>
      <c r="AF173" s="17">
        <f t="shared" ca="1" si="51"/>
        <v>100.863</v>
      </c>
      <c r="AG173" s="17">
        <f t="shared" ca="1" si="52"/>
        <v>43.227000000000004</v>
      </c>
      <c r="AH173" s="15" t="str">
        <f t="shared" ca="1" si="53"/>
        <v>R$ 10,81 x 4 Parcelas</v>
      </c>
      <c r="AJ173" s="41">
        <f t="shared" si="54"/>
        <v>25.979999999999997</v>
      </c>
      <c r="AK173" s="42">
        <f t="shared" si="55"/>
        <v>144.09</v>
      </c>
      <c r="AL173" s="43">
        <f t="shared" ca="1" si="56"/>
        <v>134.00369999999998</v>
      </c>
      <c r="AM173" s="43">
        <f t="shared" ca="1" si="57"/>
        <v>86.453999999999994</v>
      </c>
      <c r="AN173" s="43">
        <f t="shared" ca="1" si="58"/>
        <v>108.02369999999999</v>
      </c>
      <c r="AO173" s="44" t="str">
        <f t="shared" ca="1" si="59"/>
        <v>R$ 27,01 x 4 Parcelas</v>
      </c>
    </row>
    <row r="174" spans="1:41" x14ac:dyDescent="0.3">
      <c r="A174" t="s">
        <v>405</v>
      </c>
      <c r="B174" t="s">
        <v>407</v>
      </c>
      <c r="C174" t="s">
        <v>408</v>
      </c>
      <c r="D174" t="s">
        <v>21</v>
      </c>
      <c r="E174" t="s">
        <v>406</v>
      </c>
      <c r="F174" t="s">
        <v>409</v>
      </c>
      <c r="G174" s="1">
        <v>661</v>
      </c>
      <c r="H174" t="s">
        <v>410</v>
      </c>
      <c r="I174" t="s">
        <v>29</v>
      </c>
      <c r="J174" t="s">
        <v>411</v>
      </c>
      <c r="K174" t="s">
        <v>21</v>
      </c>
      <c r="L174" t="s">
        <v>48</v>
      </c>
      <c r="M174" s="1">
        <v>1</v>
      </c>
      <c r="N174" s="4">
        <v>45545</v>
      </c>
      <c r="O174" s="2">
        <v>160</v>
      </c>
      <c r="P174" s="2">
        <v>28.96</v>
      </c>
      <c r="Q174" s="2">
        <v>3.2</v>
      </c>
      <c r="R174" s="2">
        <f t="shared" si="60"/>
        <v>188.96</v>
      </c>
      <c r="S174" t="s">
        <v>356</v>
      </c>
      <c r="T174" t="s">
        <v>245</v>
      </c>
      <c r="U174" s="5">
        <f t="shared" ca="1" si="43"/>
        <v>545</v>
      </c>
      <c r="V174" s="37">
        <f t="shared" ca="1" si="42"/>
        <v>28.96</v>
      </c>
      <c r="W174" s="38">
        <f t="shared" ca="1" si="44"/>
        <v>188.96</v>
      </c>
      <c r="X174" s="38">
        <f t="shared" ca="1" si="45"/>
        <v>188.96</v>
      </c>
      <c r="Y174" s="39">
        <f t="shared" ca="1" si="61"/>
        <v>0</v>
      </c>
      <c r="Z174" s="39">
        <f t="shared" ca="1" si="46"/>
        <v>188.96</v>
      </c>
      <c r="AA174" s="40" t="str">
        <f t="shared" ca="1" si="47"/>
        <v>R$ 188,96 x 1 Parcelas</v>
      </c>
      <c r="AC174" s="17">
        <f t="shared" si="48"/>
        <v>31.22</v>
      </c>
      <c r="AD174" s="17">
        <f t="shared" si="49"/>
        <v>188.96</v>
      </c>
      <c r="AE174" s="17">
        <f t="shared" ca="1" si="50"/>
        <v>166.28480000000002</v>
      </c>
      <c r="AF174" s="17">
        <f t="shared" ca="1" si="51"/>
        <v>132.27199999999999</v>
      </c>
      <c r="AG174" s="17">
        <f t="shared" ca="1" si="52"/>
        <v>56.688000000000017</v>
      </c>
      <c r="AH174" s="15" t="str">
        <f t="shared" ca="1" si="53"/>
        <v>R$ 14,17 x 4 Parcelas</v>
      </c>
      <c r="AJ174" s="41">
        <f t="shared" si="54"/>
        <v>31.22</v>
      </c>
      <c r="AK174" s="42">
        <f t="shared" si="55"/>
        <v>188.96</v>
      </c>
      <c r="AL174" s="43">
        <f t="shared" ca="1" si="56"/>
        <v>175.7328</v>
      </c>
      <c r="AM174" s="43">
        <f t="shared" ca="1" si="57"/>
        <v>113.376</v>
      </c>
      <c r="AN174" s="43">
        <f t="shared" ca="1" si="58"/>
        <v>144.5128</v>
      </c>
      <c r="AO174" s="44" t="str">
        <f t="shared" ca="1" si="59"/>
        <v>R$ 36,13 x 4 Parcelas</v>
      </c>
    </row>
    <row r="175" spans="1:41" x14ac:dyDescent="0.3">
      <c r="A175" t="s">
        <v>405</v>
      </c>
      <c r="B175" t="s">
        <v>407</v>
      </c>
      <c r="C175" t="s">
        <v>408</v>
      </c>
      <c r="D175" t="s">
        <v>21</v>
      </c>
      <c r="E175" t="s">
        <v>406</v>
      </c>
      <c r="F175" t="s">
        <v>409</v>
      </c>
      <c r="G175" s="1">
        <v>661</v>
      </c>
      <c r="H175" t="s">
        <v>410</v>
      </c>
      <c r="I175" t="s">
        <v>29</v>
      </c>
      <c r="J175" t="s">
        <v>411</v>
      </c>
      <c r="K175" t="s">
        <v>21</v>
      </c>
      <c r="L175" t="s">
        <v>48</v>
      </c>
      <c r="M175" s="1">
        <v>1</v>
      </c>
      <c r="N175" s="4">
        <v>45545</v>
      </c>
      <c r="O175" s="2">
        <v>263.54000000000002</v>
      </c>
      <c r="P175" s="2">
        <v>47.7</v>
      </c>
      <c r="Q175" s="2">
        <v>5.27</v>
      </c>
      <c r="R175" s="2">
        <f t="shared" si="60"/>
        <v>311.24</v>
      </c>
      <c r="S175" t="s">
        <v>356</v>
      </c>
      <c r="T175" t="s">
        <v>0</v>
      </c>
      <c r="U175" s="5">
        <f t="shared" ca="1" si="43"/>
        <v>545</v>
      </c>
      <c r="V175" s="37">
        <f t="shared" ca="1" si="42"/>
        <v>47.7</v>
      </c>
      <c r="W175" s="38">
        <f t="shared" ca="1" si="44"/>
        <v>311.24</v>
      </c>
      <c r="X175" s="38">
        <f t="shared" ca="1" si="45"/>
        <v>311.24</v>
      </c>
      <c r="Y175" s="39">
        <f t="shared" ca="1" si="61"/>
        <v>0</v>
      </c>
      <c r="Z175" s="39">
        <f t="shared" ca="1" si="46"/>
        <v>311.24</v>
      </c>
      <c r="AA175" s="40" t="str">
        <f t="shared" ca="1" si="47"/>
        <v>R$ 311,24 x 1 Parcelas</v>
      </c>
      <c r="AC175" s="17">
        <f t="shared" si="48"/>
        <v>48.080000000000005</v>
      </c>
      <c r="AD175" s="17">
        <f t="shared" si="49"/>
        <v>311.24</v>
      </c>
      <c r="AE175" s="17">
        <f t="shared" ca="1" si="50"/>
        <v>273.89120000000003</v>
      </c>
      <c r="AF175" s="17">
        <f t="shared" ca="1" si="51"/>
        <v>217.86799999999999</v>
      </c>
      <c r="AG175" s="17">
        <f t="shared" ca="1" si="52"/>
        <v>93.372000000000014</v>
      </c>
      <c r="AH175" s="15" t="str">
        <f t="shared" ca="1" si="53"/>
        <v>R$ 23,34 x 4 Parcelas</v>
      </c>
      <c r="AJ175" s="41">
        <f t="shared" si="54"/>
        <v>48.080000000000005</v>
      </c>
      <c r="AK175" s="42">
        <f t="shared" si="55"/>
        <v>311.24</v>
      </c>
      <c r="AL175" s="43">
        <f t="shared" ca="1" si="56"/>
        <v>289.45319999999998</v>
      </c>
      <c r="AM175" s="43">
        <f t="shared" ca="1" si="57"/>
        <v>186.744</v>
      </c>
      <c r="AN175" s="43">
        <f t="shared" ca="1" si="58"/>
        <v>241.37319999999997</v>
      </c>
      <c r="AO175" s="44" t="str">
        <f t="shared" ca="1" si="59"/>
        <v>R$ 60,34 x 4 Parcelas</v>
      </c>
    </row>
    <row r="176" spans="1:41" x14ac:dyDescent="0.3">
      <c r="A176" t="s">
        <v>380</v>
      </c>
      <c r="B176" t="s">
        <v>381</v>
      </c>
      <c r="C176" t="s">
        <v>382</v>
      </c>
      <c r="D176" t="s">
        <v>21</v>
      </c>
      <c r="E176" t="s">
        <v>383</v>
      </c>
      <c r="F176" t="s">
        <v>384</v>
      </c>
      <c r="G176" s="1">
        <v>595</v>
      </c>
      <c r="H176" t="s">
        <v>305</v>
      </c>
      <c r="I176" t="s">
        <v>29</v>
      </c>
      <c r="J176" t="s">
        <v>385</v>
      </c>
      <c r="K176" t="s">
        <v>386</v>
      </c>
      <c r="L176" t="s">
        <v>48</v>
      </c>
      <c r="M176" s="1">
        <v>5</v>
      </c>
      <c r="N176" s="4">
        <v>45550</v>
      </c>
      <c r="O176" s="2">
        <v>113.17</v>
      </c>
      <c r="P176" s="2">
        <v>60.77</v>
      </c>
      <c r="Q176" s="2">
        <v>2.2599999999999998</v>
      </c>
      <c r="R176" s="2">
        <f t="shared" si="60"/>
        <v>173.94</v>
      </c>
      <c r="S176" t="s">
        <v>356</v>
      </c>
      <c r="T176" t="s">
        <v>387</v>
      </c>
      <c r="U176" s="5">
        <f t="shared" ca="1" si="43"/>
        <v>540</v>
      </c>
      <c r="V176" s="37">
        <f t="shared" ca="1" si="42"/>
        <v>60.77</v>
      </c>
      <c r="W176" s="38">
        <f t="shared" ca="1" si="44"/>
        <v>173.94</v>
      </c>
      <c r="X176" s="38">
        <f t="shared" ca="1" si="45"/>
        <v>173.94</v>
      </c>
      <c r="Y176" s="39">
        <f t="shared" ca="1" si="61"/>
        <v>0</v>
      </c>
      <c r="Z176" s="39">
        <f t="shared" ca="1" si="46"/>
        <v>173.94</v>
      </c>
      <c r="AA176" s="40" t="str">
        <f t="shared" ca="1" si="47"/>
        <v>R$ 173,94 x 1 Parcelas</v>
      </c>
      <c r="AC176" s="17">
        <f t="shared" si="48"/>
        <v>63.03</v>
      </c>
      <c r="AD176" s="17">
        <f t="shared" si="49"/>
        <v>173.94</v>
      </c>
      <c r="AE176" s="17">
        <f t="shared" ca="1" si="50"/>
        <v>153.06719999999999</v>
      </c>
      <c r="AF176" s="17">
        <f t="shared" ca="1" si="51"/>
        <v>121.758</v>
      </c>
      <c r="AG176" s="17">
        <f t="shared" ca="1" si="52"/>
        <v>52.182000000000002</v>
      </c>
      <c r="AH176" s="15" t="str">
        <f t="shared" ca="1" si="53"/>
        <v>R$ 13,05 x 4 Parcelas</v>
      </c>
      <c r="AJ176" s="41">
        <f t="shared" si="54"/>
        <v>63.03</v>
      </c>
      <c r="AK176" s="42">
        <f t="shared" si="55"/>
        <v>173.94</v>
      </c>
      <c r="AL176" s="43">
        <f t="shared" ca="1" si="56"/>
        <v>161.76419999999999</v>
      </c>
      <c r="AM176" s="43">
        <f t="shared" ca="1" si="57"/>
        <v>104.36399999999999</v>
      </c>
      <c r="AN176" s="43">
        <f t="shared" ca="1" si="58"/>
        <v>98.734199999999987</v>
      </c>
      <c r="AO176" s="44" t="str">
        <f t="shared" ca="1" si="59"/>
        <v>R$ 24,68 x 4 Parcelas</v>
      </c>
    </row>
    <row r="177" spans="1:41" x14ac:dyDescent="0.3">
      <c r="A177" t="s">
        <v>380</v>
      </c>
      <c r="B177" t="s">
        <v>381</v>
      </c>
      <c r="C177" t="s">
        <v>382</v>
      </c>
      <c r="D177" t="s">
        <v>21</v>
      </c>
      <c r="E177" t="s">
        <v>383</v>
      </c>
      <c r="F177" t="s">
        <v>384</v>
      </c>
      <c r="G177" s="1">
        <v>595</v>
      </c>
      <c r="H177" t="s">
        <v>305</v>
      </c>
      <c r="I177" t="s">
        <v>29</v>
      </c>
      <c r="J177" t="s">
        <v>385</v>
      </c>
      <c r="K177" t="s">
        <v>386</v>
      </c>
      <c r="L177" t="s">
        <v>48</v>
      </c>
      <c r="M177" s="1">
        <v>5</v>
      </c>
      <c r="N177" s="4">
        <v>45550</v>
      </c>
      <c r="O177" s="2">
        <v>113.17</v>
      </c>
      <c r="P177" s="2">
        <v>60.77</v>
      </c>
      <c r="Q177" s="2">
        <v>2.2599999999999998</v>
      </c>
      <c r="R177" s="2">
        <f t="shared" si="60"/>
        <v>173.94</v>
      </c>
      <c r="S177" t="s">
        <v>356</v>
      </c>
      <c r="T177" t="s">
        <v>387</v>
      </c>
      <c r="U177" s="5">
        <f t="shared" ca="1" si="43"/>
        <v>540</v>
      </c>
      <c r="V177" s="37">
        <f t="shared" ca="1" si="42"/>
        <v>60.77</v>
      </c>
      <c r="W177" s="38">
        <f t="shared" ca="1" si="44"/>
        <v>173.94</v>
      </c>
      <c r="X177" s="38">
        <f t="shared" ca="1" si="45"/>
        <v>173.94</v>
      </c>
      <c r="Y177" s="39">
        <f t="shared" ca="1" si="61"/>
        <v>0</v>
      </c>
      <c r="Z177" s="39">
        <f t="shared" ca="1" si="46"/>
        <v>173.94</v>
      </c>
      <c r="AA177" s="40" t="str">
        <f t="shared" ca="1" si="47"/>
        <v>R$ 173,94 x 1 Parcelas</v>
      </c>
      <c r="AC177" s="17">
        <f t="shared" si="48"/>
        <v>63.03</v>
      </c>
      <c r="AD177" s="17">
        <f t="shared" si="49"/>
        <v>173.94</v>
      </c>
      <c r="AE177" s="17">
        <f t="shared" ca="1" si="50"/>
        <v>153.06719999999999</v>
      </c>
      <c r="AF177" s="17">
        <f t="shared" ca="1" si="51"/>
        <v>121.758</v>
      </c>
      <c r="AG177" s="17">
        <f t="shared" ca="1" si="52"/>
        <v>52.182000000000002</v>
      </c>
      <c r="AH177" s="15" t="str">
        <f t="shared" ca="1" si="53"/>
        <v>R$ 13,05 x 4 Parcelas</v>
      </c>
      <c r="AJ177" s="41">
        <f t="shared" si="54"/>
        <v>63.03</v>
      </c>
      <c r="AK177" s="42">
        <f t="shared" si="55"/>
        <v>173.94</v>
      </c>
      <c r="AL177" s="43">
        <f t="shared" ca="1" si="56"/>
        <v>161.76419999999999</v>
      </c>
      <c r="AM177" s="43">
        <f t="shared" ca="1" si="57"/>
        <v>104.36399999999999</v>
      </c>
      <c r="AN177" s="43">
        <f t="shared" ca="1" si="58"/>
        <v>98.734199999999987</v>
      </c>
      <c r="AO177" s="44" t="str">
        <f t="shared" ca="1" si="59"/>
        <v>R$ 24,68 x 4 Parcelas</v>
      </c>
    </row>
    <row r="178" spans="1:41" x14ac:dyDescent="0.3">
      <c r="A178" t="s">
        <v>388</v>
      </c>
      <c r="B178" t="s">
        <v>389</v>
      </c>
      <c r="C178" t="s">
        <v>390</v>
      </c>
      <c r="D178" t="s">
        <v>391</v>
      </c>
      <c r="E178" t="s">
        <v>392</v>
      </c>
      <c r="F178" t="s">
        <v>393</v>
      </c>
      <c r="G178" s="1">
        <v>5147</v>
      </c>
      <c r="H178" t="s">
        <v>394</v>
      </c>
      <c r="I178" t="s">
        <v>29</v>
      </c>
      <c r="J178" t="s">
        <v>395</v>
      </c>
      <c r="K178" t="s">
        <v>396</v>
      </c>
      <c r="L178" t="s">
        <v>48</v>
      </c>
      <c r="M178" s="1">
        <v>1</v>
      </c>
      <c r="N178" s="4">
        <v>45558</v>
      </c>
      <c r="O178" s="2">
        <v>137.26</v>
      </c>
      <c r="P178" s="2">
        <v>24.25</v>
      </c>
      <c r="Q178" s="2">
        <v>2.75</v>
      </c>
      <c r="R178" s="2">
        <f t="shared" si="60"/>
        <v>161.51</v>
      </c>
      <c r="S178" t="s">
        <v>356</v>
      </c>
      <c r="T178" t="s">
        <v>245</v>
      </c>
      <c r="U178" s="5">
        <f t="shared" ca="1" si="43"/>
        <v>532</v>
      </c>
      <c r="V178" s="37">
        <f t="shared" ca="1" si="42"/>
        <v>24.25</v>
      </c>
      <c r="W178" s="38">
        <f t="shared" ca="1" si="44"/>
        <v>161.51</v>
      </c>
      <c r="X178" s="38">
        <f t="shared" ca="1" si="45"/>
        <v>161.51</v>
      </c>
      <c r="Y178" s="39">
        <f t="shared" ca="1" si="61"/>
        <v>0</v>
      </c>
      <c r="Z178" s="39">
        <f t="shared" ca="1" si="46"/>
        <v>161.51</v>
      </c>
      <c r="AA178" s="40" t="str">
        <f t="shared" ca="1" si="47"/>
        <v>R$ 161,51 x 1 Parcelas</v>
      </c>
      <c r="AC178" s="17">
        <f t="shared" si="48"/>
        <v>26.96</v>
      </c>
      <c r="AD178" s="17">
        <f t="shared" si="49"/>
        <v>161.51</v>
      </c>
      <c r="AE178" s="17">
        <f t="shared" ca="1" si="50"/>
        <v>142.12879999999998</v>
      </c>
      <c r="AF178" s="17">
        <f t="shared" ca="1" si="51"/>
        <v>113.05699999999999</v>
      </c>
      <c r="AG178" s="17">
        <f t="shared" ca="1" si="52"/>
        <v>48.453000000000003</v>
      </c>
      <c r="AH178" s="15" t="str">
        <f t="shared" ca="1" si="53"/>
        <v>R$ 12,11 x 4 Parcelas</v>
      </c>
      <c r="AJ178" s="41">
        <f t="shared" si="54"/>
        <v>26.96</v>
      </c>
      <c r="AK178" s="42">
        <f t="shared" si="55"/>
        <v>161.51</v>
      </c>
      <c r="AL178" s="43">
        <f t="shared" ca="1" si="56"/>
        <v>150.20429999999999</v>
      </c>
      <c r="AM178" s="43">
        <f t="shared" ca="1" si="57"/>
        <v>96.905999999999992</v>
      </c>
      <c r="AN178" s="43">
        <f t="shared" ca="1" si="58"/>
        <v>123.24429999999998</v>
      </c>
      <c r="AO178" s="44" t="str">
        <f t="shared" ca="1" si="59"/>
        <v>R$ 30,81 x 4 Parcelas</v>
      </c>
    </row>
    <row r="179" spans="1:41" x14ac:dyDescent="0.3">
      <c r="A179" t="s">
        <v>405</v>
      </c>
      <c r="B179" t="s">
        <v>407</v>
      </c>
      <c r="C179" t="s">
        <v>408</v>
      </c>
      <c r="D179" t="s">
        <v>21</v>
      </c>
      <c r="E179" t="s">
        <v>406</v>
      </c>
      <c r="F179" t="s">
        <v>409</v>
      </c>
      <c r="G179" s="1">
        <v>661</v>
      </c>
      <c r="H179" t="s">
        <v>410</v>
      </c>
      <c r="I179" t="s">
        <v>29</v>
      </c>
      <c r="J179" t="s">
        <v>411</v>
      </c>
      <c r="K179" t="s">
        <v>21</v>
      </c>
      <c r="L179" t="s">
        <v>48</v>
      </c>
      <c r="M179" s="1">
        <v>2</v>
      </c>
      <c r="N179" s="4">
        <v>45575</v>
      </c>
      <c r="O179" s="2">
        <v>263.49</v>
      </c>
      <c r="P179" s="2">
        <v>45.06</v>
      </c>
      <c r="Q179" s="2">
        <v>5.27</v>
      </c>
      <c r="R179" s="2">
        <f t="shared" si="60"/>
        <v>308.55</v>
      </c>
      <c r="S179" t="s">
        <v>356</v>
      </c>
      <c r="T179" t="s">
        <v>0</v>
      </c>
      <c r="U179" s="5">
        <f t="shared" ca="1" si="43"/>
        <v>515</v>
      </c>
      <c r="V179" s="37">
        <f t="shared" ca="1" si="42"/>
        <v>45.06</v>
      </c>
      <c r="W179" s="38">
        <f t="shared" ca="1" si="44"/>
        <v>308.55</v>
      </c>
      <c r="X179" s="38">
        <f t="shared" ca="1" si="45"/>
        <v>308.55</v>
      </c>
      <c r="Y179" s="39">
        <f t="shared" ca="1" si="61"/>
        <v>0</v>
      </c>
      <c r="Z179" s="39">
        <f t="shared" ca="1" si="46"/>
        <v>308.55</v>
      </c>
      <c r="AA179" s="40" t="str">
        <f t="shared" ca="1" si="47"/>
        <v>R$ 308,55 x 1 Parcelas</v>
      </c>
      <c r="AC179" s="17">
        <f t="shared" si="48"/>
        <v>47.5</v>
      </c>
      <c r="AD179" s="17">
        <f t="shared" si="49"/>
        <v>308.55</v>
      </c>
      <c r="AE179" s="17">
        <f t="shared" ca="1" si="50"/>
        <v>271.524</v>
      </c>
      <c r="AF179" s="17">
        <f t="shared" ca="1" si="51"/>
        <v>215.98499999999999</v>
      </c>
      <c r="AG179" s="17">
        <f t="shared" ca="1" si="52"/>
        <v>92.565000000000026</v>
      </c>
      <c r="AH179" s="15" t="str">
        <f t="shared" ca="1" si="53"/>
        <v>R$ 23,14 x 4 Parcelas</v>
      </c>
      <c r="AJ179" s="41">
        <f t="shared" si="54"/>
        <v>47.5</v>
      </c>
      <c r="AK179" s="42">
        <f t="shared" si="55"/>
        <v>308.55</v>
      </c>
      <c r="AL179" s="43">
        <f t="shared" ca="1" si="56"/>
        <v>286.95150000000001</v>
      </c>
      <c r="AM179" s="43">
        <f t="shared" ca="1" si="57"/>
        <v>185.13</v>
      </c>
      <c r="AN179" s="43">
        <f t="shared" ca="1" si="58"/>
        <v>239.45150000000001</v>
      </c>
      <c r="AO179" s="44" t="str">
        <f t="shared" ca="1" si="59"/>
        <v>R$ 59,86 x 4 Parcelas</v>
      </c>
    </row>
    <row r="180" spans="1:41" x14ac:dyDescent="0.3">
      <c r="A180" t="s">
        <v>413</v>
      </c>
      <c r="B180" t="s">
        <v>414</v>
      </c>
      <c r="C180" t="s">
        <v>415</v>
      </c>
      <c r="D180" t="s">
        <v>21</v>
      </c>
      <c r="E180" t="s">
        <v>412</v>
      </c>
      <c r="F180" t="s">
        <v>416</v>
      </c>
      <c r="G180" s="1">
        <v>1241</v>
      </c>
      <c r="H180" t="s">
        <v>417</v>
      </c>
      <c r="I180" t="s">
        <v>29</v>
      </c>
      <c r="J180" t="s">
        <v>418</v>
      </c>
      <c r="K180" t="s">
        <v>419</v>
      </c>
      <c r="L180" t="s">
        <v>48</v>
      </c>
      <c r="M180" s="1">
        <v>6</v>
      </c>
      <c r="N180" s="4">
        <v>45575</v>
      </c>
      <c r="O180" s="2">
        <v>135.62</v>
      </c>
      <c r="P180" s="2">
        <v>69.569999999999993</v>
      </c>
      <c r="Q180" s="2">
        <v>2.71</v>
      </c>
      <c r="R180" s="2">
        <f t="shared" si="60"/>
        <v>205.19</v>
      </c>
      <c r="S180" t="s">
        <v>356</v>
      </c>
      <c r="T180" t="s">
        <v>387</v>
      </c>
      <c r="U180" s="5">
        <f t="shared" ca="1" si="43"/>
        <v>515</v>
      </c>
      <c r="V180" s="37">
        <f t="shared" ca="1" si="42"/>
        <v>69.569999999999993</v>
      </c>
      <c r="W180" s="38">
        <f t="shared" ca="1" si="44"/>
        <v>205.19</v>
      </c>
      <c r="X180" s="38">
        <f t="shared" ca="1" si="45"/>
        <v>205.19</v>
      </c>
      <c r="Y180" s="39">
        <f t="shared" ca="1" si="61"/>
        <v>0</v>
      </c>
      <c r="Z180" s="39">
        <f t="shared" ca="1" si="46"/>
        <v>205.19</v>
      </c>
      <c r="AA180" s="40" t="str">
        <f t="shared" ca="1" si="47"/>
        <v>R$ 205,19 x 1 Parcelas</v>
      </c>
      <c r="AC180" s="17">
        <f t="shared" si="48"/>
        <v>72.22999999999999</v>
      </c>
      <c r="AD180" s="17">
        <f t="shared" si="49"/>
        <v>205.19</v>
      </c>
      <c r="AE180" s="17">
        <f t="shared" ca="1" si="50"/>
        <v>180.56719999999999</v>
      </c>
      <c r="AF180" s="17">
        <f t="shared" ca="1" si="51"/>
        <v>143.63299999999998</v>
      </c>
      <c r="AG180" s="17">
        <f t="shared" ca="1" si="52"/>
        <v>61.557000000000016</v>
      </c>
      <c r="AH180" s="15" t="str">
        <f t="shared" ca="1" si="53"/>
        <v>R$ 15,39 x 4 Parcelas</v>
      </c>
      <c r="AJ180" s="41">
        <f t="shared" si="54"/>
        <v>72.22999999999999</v>
      </c>
      <c r="AK180" s="42">
        <f t="shared" si="55"/>
        <v>205.19</v>
      </c>
      <c r="AL180" s="43">
        <f t="shared" ca="1" si="56"/>
        <v>190.82669999999999</v>
      </c>
      <c r="AM180" s="43">
        <f t="shared" ca="1" si="57"/>
        <v>123.11399999999999</v>
      </c>
      <c r="AN180" s="43">
        <f t="shared" ca="1" si="58"/>
        <v>118.5967</v>
      </c>
      <c r="AO180" s="44" t="str">
        <f t="shared" ca="1" si="59"/>
        <v>R$ 29,65 x 4 Parcelas</v>
      </c>
    </row>
    <row r="181" spans="1:41" x14ac:dyDescent="0.3">
      <c r="A181" t="s">
        <v>388</v>
      </c>
      <c r="B181" t="s">
        <v>389</v>
      </c>
      <c r="C181" t="s">
        <v>390</v>
      </c>
      <c r="D181" t="s">
        <v>391</v>
      </c>
      <c r="E181" t="s">
        <v>392</v>
      </c>
      <c r="F181" t="s">
        <v>393</v>
      </c>
      <c r="G181" s="1">
        <v>5147</v>
      </c>
      <c r="H181" t="s">
        <v>394</v>
      </c>
      <c r="I181" t="s">
        <v>29</v>
      </c>
      <c r="J181" t="s">
        <v>395</v>
      </c>
      <c r="K181" t="s">
        <v>396</v>
      </c>
      <c r="L181" t="s">
        <v>48</v>
      </c>
      <c r="M181" s="1">
        <v>6</v>
      </c>
      <c r="N181" s="4">
        <v>45575</v>
      </c>
      <c r="O181" s="2">
        <v>122.01</v>
      </c>
      <c r="P181" s="2">
        <v>20.86</v>
      </c>
      <c r="Q181" s="2">
        <v>2.44</v>
      </c>
      <c r="R181" s="2">
        <f t="shared" si="60"/>
        <v>142.87</v>
      </c>
      <c r="S181" t="s">
        <v>356</v>
      </c>
      <c r="T181" t="s">
        <v>387</v>
      </c>
      <c r="U181" s="5">
        <f t="shared" ca="1" si="43"/>
        <v>515</v>
      </c>
      <c r="V181" s="37">
        <f t="shared" ca="1" si="42"/>
        <v>20.86</v>
      </c>
      <c r="W181" s="38">
        <f t="shared" ca="1" si="44"/>
        <v>142.87</v>
      </c>
      <c r="X181" s="38">
        <f t="shared" ca="1" si="45"/>
        <v>142.87</v>
      </c>
      <c r="Y181" s="39">
        <f t="shared" ca="1" si="61"/>
        <v>0</v>
      </c>
      <c r="Z181" s="39">
        <f t="shared" ca="1" si="46"/>
        <v>142.87</v>
      </c>
      <c r="AA181" s="40" t="str">
        <f t="shared" ca="1" si="47"/>
        <v>R$ 142,87 x 1 Parcelas</v>
      </c>
      <c r="AC181" s="17">
        <f t="shared" si="48"/>
        <v>23.52</v>
      </c>
      <c r="AD181" s="17">
        <f t="shared" si="49"/>
        <v>142.87</v>
      </c>
      <c r="AE181" s="17">
        <f t="shared" ca="1" si="50"/>
        <v>125.7256</v>
      </c>
      <c r="AF181" s="17">
        <f t="shared" ca="1" si="51"/>
        <v>100.009</v>
      </c>
      <c r="AG181" s="17">
        <f t="shared" ca="1" si="52"/>
        <v>42.861000000000004</v>
      </c>
      <c r="AH181" s="15" t="str">
        <f t="shared" ca="1" si="53"/>
        <v>R$ 10,72 x 4 Parcelas</v>
      </c>
      <c r="AJ181" s="41">
        <f t="shared" si="54"/>
        <v>23.52</v>
      </c>
      <c r="AK181" s="42">
        <f t="shared" si="55"/>
        <v>142.87</v>
      </c>
      <c r="AL181" s="43">
        <f t="shared" ca="1" si="56"/>
        <v>132.8691</v>
      </c>
      <c r="AM181" s="43">
        <f t="shared" ca="1" si="57"/>
        <v>85.721999999999994</v>
      </c>
      <c r="AN181" s="43">
        <f t="shared" ca="1" si="58"/>
        <v>109.34910000000001</v>
      </c>
      <c r="AO181" s="44" t="str">
        <f t="shared" ca="1" si="59"/>
        <v>R$ 27,34 x 4 Parcelas</v>
      </c>
    </row>
    <row r="182" spans="1:41" x14ac:dyDescent="0.3">
      <c r="A182" t="s">
        <v>380</v>
      </c>
      <c r="B182" t="s">
        <v>381</v>
      </c>
      <c r="C182" t="s">
        <v>382</v>
      </c>
      <c r="D182" t="s">
        <v>21</v>
      </c>
      <c r="E182" t="s">
        <v>383</v>
      </c>
      <c r="F182" t="s">
        <v>384</v>
      </c>
      <c r="G182" s="1">
        <v>595</v>
      </c>
      <c r="H182" t="s">
        <v>305</v>
      </c>
      <c r="I182" t="s">
        <v>29</v>
      </c>
      <c r="J182" t="s">
        <v>385</v>
      </c>
      <c r="K182" t="s">
        <v>386</v>
      </c>
      <c r="L182" t="s">
        <v>48</v>
      </c>
      <c r="M182" s="1">
        <v>6</v>
      </c>
      <c r="N182" s="4">
        <v>45580</v>
      </c>
      <c r="O182" s="2">
        <v>113.17</v>
      </c>
      <c r="P182" s="2">
        <v>57.49</v>
      </c>
      <c r="Q182" s="2">
        <v>2.2599999999999998</v>
      </c>
      <c r="R182" s="2">
        <f t="shared" si="60"/>
        <v>170.66</v>
      </c>
      <c r="S182" t="s">
        <v>356</v>
      </c>
      <c r="T182" t="s">
        <v>387</v>
      </c>
      <c r="U182" s="5">
        <f t="shared" ca="1" si="43"/>
        <v>510</v>
      </c>
      <c r="V182" s="37">
        <f t="shared" ca="1" si="42"/>
        <v>57.49</v>
      </c>
      <c r="W182" s="38">
        <f t="shared" ca="1" si="44"/>
        <v>170.66</v>
      </c>
      <c r="X182" s="38">
        <f t="shared" ca="1" si="45"/>
        <v>170.66</v>
      </c>
      <c r="Y182" s="39">
        <f t="shared" ca="1" si="61"/>
        <v>0</v>
      </c>
      <c r="Z182" s="39">
        <f t="shared" ca="1" si="46"/>
        <v>170.66</v>
      </c>
      <c r="AA182" s="40" t="str">
        <f t="shared" ca="1" si="47"/>
        <v>R$ 170,66 x 1 Parcelas</v>
      </c>
      <c r="AC182" s="17">
        <f t="shared" si="48"/>
        <v>59.75</v>
      </c>
      <c r="AD182" s="17">
        <f t="shared" si="49"/>
        <v>170.66</v>
      </c>
      <c r="AE182" s="17">
        <f t="shared" ca="1" si="50"/>
        <v>150.1808</v>
      </c>
      <c r="AF182" s="17">
        <f t="shared" ca="1" si="51"/>
        <v>119.46199999999999</v>
      </c>
      <c r="AG182" s="17">
        <f t="shared" ca="1" si="52"/>
        <v>51.198000000000008</v>
      </c>
      <c r="AH182" s="15" t="str">
        <f t="shared" ca="1" si="53"/>
        <v>R$ 12,80 x 4 Parcelas</v>
      </c>
      <c r="AJ182" s="41">
        <f t="shared" si="54"/>
        <v>59.75</v>
      </c>
      <c r="AK182" s="42">
        <f t="shared" si="55"/>
        <v>170.66</v>
      </c>
      <c r="AL182" s="43">
        <f t="shared" ca="1" si="56"/>
        <v>158.71379999999999</v>
      </c>
      <c r="AM182" s="43">
        <f t="shared" ca="1" si="57"/>
        <v>102.396</v>
      </c>
      <c r="AN182" s="43">
        <f t="shared" ca="1" si="58"/>
        <v>98.963799999999992</v>
      </c>
      <c r="AO182" s="44" t="str">
        <f t="shared" ca="1" si="59"/>
        <v>R$ 24,74 x 4 Parcelas</v>
      </c>
    </row>
    <row r="183" spans="1:41" x14ac:dyDescent="0.3">
      <c r="A183" t="s">
        <v>380</v>
      </c>
      <c r="B183" t="s">
        <v>381</v>
      </c>
      <c r="C183" t="s">
        <v>382</v>
      </c>
      <c r="D183" t="s">
        <v>21</v>
      </c>
      <c r="E183" t="s">
        <v>383</v>
      </c>
      <c r="F183" t="s">
        <v>384</v>
      </c>
      <c r="G183" s="1">
        <v>595</v>
      </c>
      <c r="H183" t="s">
        <v>305</v>
      </c>
      <c r="I183" t="s">
        <v>29</v>
      </c>
      <c r="J183" t="s">
        <v>385</v>
      </c>
      <c r="K183" t="s">
        <v>386</v>
      </c>
      <c r="L183" t="s">
        <v>48</v>
      </c>
      <c r="M183" s="1">
        <v>6</v>
      </c>
      <c r="N183" s="4">
        <v>45580</v>
      </c>
      <c r="O183" s="2">
        <v>113.17</v>
      </c>
      <c r="P183" s="2">
        <v>57.49</v>
      </c>
      <c r="Q183" s="2">
        <v>2.2599999999999998</v>
      </c>
      <c r="R183" s="2">
        <f t="shared" si="60"/>
        <v>170.66</v>
      </c>
      <c r="S183" t="s">
        <v>356</v>
      </c>
      <c r="T183" t="s">
        <v>387</v>
      </c>
      <c r="U183" s="5">
        <f t="shared" ca="1" si="43"/>
        <v>510</v>
      </c>
      <c r="V183" s="37">
        <f t="shared" ca="1" si="42"/>
        <v>57.49</v>
      </c>
      <c r="W183" s="38">
        <f t="shared" ca="1" si="44"/>
        <v>170.66</v>
      </c>
      <c r="X183" s="38">
        <f t="shared" ca="1" si="45"/>
        <v>170.66</v>
      </c>
      <c r="Y183" s="39">
        <f t="shared" ca="1" si="61"/>
        <v>0</v>
      </c>
      <c r="Z183" s="39">
        <f t="shared" ca="1" si="46"/>
        <v>170.66</v>
      </c>
      <c r="AA183" s="40" t="str">
        <f t="shared" ca="1" si="47"/>
        <v>R$ 170,66 x 1 Parcelas</v>
      </c>
      <c r="AC183" s="17">
        <f t="shared" si="48"/>
        <v>63.410000000000004</v>
      </c>
      <c r="AD183" s="17">
        <f t="shared" si="49"/>
        <v>170.66</v>
      </c>
      <c r="AE183" s="17">
        <f t="shared" ca="1" si="50"/>
        <v>150.1808</v>
      </c>
      <c r="AF183" s="17">
        <f t="shared" ca="1" si="51"/>
        <v>119.46199999999999</v>
      </c>
      <c r="AG183" s="17">
        <f t="shared" ca="1" si="52"/>
        <v>51.198000000000008</v>
      </c>
      <c r="AH183" s="15" t="str">
        <f t="shared" ca="1" si="53"/>
        <v>R$ 12,80 x 4 Parcelas</v>
      </c>
      <c r="AJ183" s="41">
        <f t="shared" si="54"/>
        <v>63.410000000000004</v>
      </c>
      <c r="AK183" s="42">
        <f t="shared" si="55"/>
        <v>170.66</v>
      </c>
      <c r="AL183" s="43">
        <f t="shared" ca="1" si="56"/>
        <v>158.71379999999999</v>
      </c>
      <c r="AM183" s="43">
        <f t="shared" ca="1" si="57"/>
        <v>102.396</v>
      </c>
      <c r="AN183" s="43">
        <f t="shared" ca="1" si="58"/>
        <v>95.303799999999995</v>
      </c>
      <c r="AO183" s="44" t="str">
        <f t="shared" ca="1" si="59"/>
        <v>R$ 23,83 x 4 Parcelas</v>
      </c>
    </row>
    <row r="184" spans="1:41" x14ac:dyDescent="0.3">
      <c r="A184" t="s">
        <v>421</v>
      </c>
      <c r="B184" t="s">
        <v>422</v>
      </c>
      <c r="C184" t="s">
        <v>423</v>
      </c>
      <c r="D184" t="s">
        <v>21</v>
      </c>
      <c r="E184" t="s">
        <v>420</v>
      </c>
      <c r="F184" t="s">
        <v>424</v>
      </c>
      <c r="G184" s="1">
        <v>28</v>
      </c>
      <c r="H184" t="s">
        <v>378</v>
      </c>
      <c r="I184" t="s">
        <v>29</v>
      </c>
      <c r="J184" t="s">
        <v>425</v>
      </c>
      <c r="K184" t="s">
        <v>21</v>
      </c>
      <c r="L184" t="s">
        <v>48</v>
      </c>
      <c r="M184" s="1">
        <v>7</v>
      </c>
      <c r="N184" s="4">
        <v>45601</v>
      </c>
      <c r="O184" s="2">
        <v>113.17</v>
      </c>
      <c r="P184" s="2">
        <v>55.11</v>
      </c>
      <c r="Q184" s="2">
        <v>2.2599999999999998</v>
      </c>
      <c r="R184" s="2">
        <f t="shared" si="60"/>
        <v>168.28</v>
      </c>
      <c r="S184" t="s">
        <v>356</v>
      </c>
      <c r="T184" t="s">
        <v>387</v>
      </c>
      <c r="U184" s="5">
        <f t="shared" ca="1" si="43"/>
        <v>489</v>
      </c>
      <c r="V184" s="37">
        <f t="shared" ca="1" si="42"/>
        <v>55.11</v>
      </c>
      <c r="W184" s="38">
        <f t="shared" ca="1" si="44"/>
        <v>168.28</v>
      </c>
      <c r="X184" s="38">
        <f t="shared" ca="1" si="45"/>
        <v>168.28</v>
      </c>
      <c r="Y184" s="39">
        <f t="shared" ca="1" si="61"/>
        <v>0</v>
      </c>
      <c r="Z184" s="39">
        <f t="shared" ca="1" si="46"/>
        <v>168.28</v>
      </c>
      <c r="AA184" s="40" t="str">
        <f t="shared" ca="1" si="47"/>
        <v>R$ 168,28 x 1 Parcelas</v>
      </c>
      <c r="AC184" s="17">
        <f t="shared" si="48"/>
        <v>57.37</v>
      </c>
      <c r="AD184" s="17">
        <f t="shared" si="49"/>
        <v>168.28</v>
      </c>
      <c r="AE184" s="17">
        <f t="shared" ca="1" si="50"/>
        <v>148.0864</v>
      </c>
      <c r="AF184" s="17">
        <f t="shared" ca="1" si="51"/>
        <v>117.79599999999999</v>
      </c>
      <c r="AG184" s="17">
        <f t="shared" ca="1" si="52"/>
        <v>50.484000000000009</v>
      </c>
      <c r="AH184" s="15" t="str">
        <f t="shared" ca="1" si="53"/>
        <v>R$ 12,62 x 4 Parcelas</v>
      </c>
      <c r="AJ184" s="41">
        <f t="shared" si="54"/>
        <v>57.37</v>
      </c>
      <c r="AK184" s="42">
        <f t="shared" si="55"/>
        <v>168.28</v>
      </c>
      <c r="AL184" s="43">
        <f t="shared" ca="1" si="56"/>
        <v>156.50039999999998</v>
      </c>
      <c r="AM184" s="43">
        <f t="shared" ca="1" si="57"/>
        <v>100.968</v>
      </c>
      <c r="AN184" s="43">
        <f t="shared" ca="1" si="58"/>
        <v>99.13039999999998</v>
      </c>
      <c r="AO184" s="44" t="str">
        <f t="shared" ca="1" si="59"/>
        <v>R$ 24,78 x 4 Parcelas</v>
      </c>
    </row>
    <row r="185" spans="1:41" x14ac:dyDescent="0.3">
      <c r="A185" t="s">
        <v>427</v>
      </c>
      <c r="B185" t="s">
        <v>428</v>
      </c>
      <c r="C185" t="s">
        <v>429</v>
      </c>
      <c r="D185" t="s">
        <v>21</v>
      </c>
      <c r="E185" t="s">
        <v>426</v>
      </c>
      <c r="F185" t="s">
        <v>430</v>
      </c>
      <c r="G185" s="1">
        <v>24</v>
      </c>
      <c r="H185" t="s">
        <v>333</v>
      </c>
      <c r="I185" t="s">
        <v>29</v>
      </c>
      <c r="J185" t="s">
        <v>431</v>
      </c>
      <c r="K185" t="s">
        <v>21</v>
      </c>
      <c r="L185" t="s">
        <v>48</v>
      </c>
      <c r="M185" s="1">
        <v>7</v>
      </c>
      <c r="N185" s="4">
        <v>45606</v>
      </c>
      <c r="O185" s="2">
        <v>113.17</v>
      </c>
      <c r="P185" s="2">
        <v>54.43</v>
      </c>
      <c r="Q185" s="2">
        <v>2.2599999999999998</v>
      </c>
      <c r="R185" s="2">
        <f t="shared" si="60"/>
        <v>167.6</v>
      </c>
      <c r="S185" t="s">
        <v>356</v>
      </c>
      <c r="T185" t="s">
        <v>387</v>
      </c>
      <c r="U185" s="5">
        <f t="shared" ca="1" si="43"/>
        <v>484</v>
      </c>
      <c r="V185" s="37">
        <f t="shared" ca="1" si="42"/>
        <v>54.43</v>
      </c>
      <c r="W185" s="38">
        <f t="shared" ca="1" si="44"/>
        <v>167.6</v>
      </c>
      <c r="X185" s="38">
        <f t="shared" ca="1" si="45"/>
        <v>167.6</v>
      </c>
      <c r="Y185" s="39">
        <f t="shared" ca="1" si="61"/>
        <v>0</v>
      </c>
      <c r="Z185" s="39">
        <f t="shared" ca="1" si="46"/>
        <v>167.6</v>
      </c>
      <c r="AA185" s="40" t="str">
        <f t="shared" ca="1" si="47"/>
        <v>R$ 167,60 x 1 Parcelas</v>
      </c>
      <c r="AC185" s="17">
        <f t="shared" si="48"/>
        <v>56.69</v>
      </c>
      <c r="AD185" s="17">
        <f t="shared" si="49"/>
        <v>167.6</v>
      </c>
      <c r="AE185" s="17">
        <f t="shared" ca="1" si="50"/>
        <v>147.488</v>
      </c>
      <c r="AF185" s="17">
        <f t="shared" ca="1" si="51"/>
        <v>117.32</v>
      </c>
      <c r="AG185" s="17">
        <f t="shared" ca="1" si="52"/>
        <v>50.28</v>
      </c>
      <c r="AH185" s="15" t="str">
        <f t="shared" ca="1" si="53"/>
        <v>R$ 12,57 x 4 Parcelas</v>
      </c>
      <c r="AJ185" s="41">
        <f t="shared" si="54"/>
        <v>56.69</v>
      </c>
      <c r="AK185" s="42">
        <f t="shared" si="55"/>
        <v>167.6</v>
      </c>
      <c r="AL185" s="43">
        <f t="shared" ca="1" si="56"/>
        <v>155.86799999999999</v>
      </c>
      <c r="AM185" s="43">
        <f t="shared" ca="1" si="57"/>
        <v>100.55999999999999</v>
      </c>
      <c r="AN185" s="43">
        <f t="shared" ca="1" si="58"/>
        <v>99.177999999999997</v>
      </c>
      <c r="AO185" s="44" t="str">
        <f t="shared" ca="1" si="59"/>
        <v>R$ 24,79 x 4 Parcelas</v>
      </c>
    </row>
    <row r="186" spans="1:41" x14ac:dyDescent="0.3">
      <c r="A186" t="s">
        <v>413</v>
      </c>
      <c r="B186" t="s">
        <v>414</v>
      </c>
      <c r="C186" t="s">
        <v>415</v>
      </c>
      <c r="D186" t="s">
        <v>21</v>
      </c>
      <c r="E186" t="s">
        <v>412</v>
      </c>
      <c r="F186" t="s">
        <v>416</v>
      </c>
      <c r="G186" s="1">
        <v>1241</v>
      </c>
      <c r="H186" t="s">
        <v>417</v>
      </c>
      <c r="I186" t="s">
        <v>29</v>
      </c>
      <c r="J186" t="s">
        <v>418</v>
      </c>
      <c r="K186" t="s">
        <v>419</v>
      </c>
      <c r="L186" t="s">
        <v>48</v>
      </c>
      <c r="M186" s="1">
        <v>7</v>
      </c>
      <c r="N186" s="4">
        <v>45606</v>
      </c>
      <c r="O186" s="2">
        <v>135.62</v>
      </c>
      <c r="P186" s="2">
        <v>65.23</v>
      </c>
      <c r="Q186" s="2">
        <v>2.71</v>
      </c>
      <c r="R186" s="2">
        <f t="shared" si="60"/>
        <v>200.85000000000002</v>
      </c>
      <c r="S186" t="s">
        <v>356</v>
      </c>
      <c r="T186" t="s">
        <v>387</v>
      </c>
      <c r="U186" s="5">
        <f t="shared" ca="1" si="43"/>
        <v>484</v>
      </c>
      <c r="V186" s="37">
        <f t="shared" ca="1" si="42"/>
        <v>65.23</v>
      </c>
      <c r="W186" s="38">
        <f t="shared" ca="1" si="44"/>
        <v>200.85000000000002</v>
      </c>
      <c r="X186" s="38">
        <f t="shared" ca="1" si="45"/>
        <v>200.85000000000002</v>
      </c>
      <c r="Y186" s="39">
        <f t="shared" ca="1" si="61"/>
        <v>0</v>
      </c>
      <c r="Z186" s="39">
        <f t="shared" ca="1" si="46"/>
        <v>200.85000000000002</v>
      </c>
      <c r="AA186" s="40" t="str">
        <f t="shared" ca="1" si="47"/>
        <v>R$ 200,85 x 1 Parcelas</v>
      </c>
      <c r="AC186" s="17">
        <f t="shared" si="48"/>
        <v>67.67</v>
      </c>
      <c r="AD186" s="17">
        <f t="shared" si="49"/>
        <v>200.85000000000002</v>
      </c>
      <c r="AE186" s="17">
        <f t="shared" ca="1" si="50"/>
        <v>176.74800000000002</v>
      </c>
      <c r="AF186" s="17">
        <f t="shared" ca="1" si="51"/>
        <v>140.595</v>
      </c>
      <c r="AG186" s="17">
        <f t="shared" ca="1" si="52"/>
        <v>60.255000000000024</v>
      </c>
      <c r="AH186" s="15" t="str">
        <f t="shared" ca="1" si="53"/>
        <v>R$ 15,06 x 4 Parcelas</v>
      </c>
      <c r="AJ186" s="41">
        <f t="shared" si="54"/>
        <v>67.67</v>
      </c>
      <c r="AK186" s="42">
        <f t="shared" si="55"/>
        <v>200.85000000000002</v>
      </c>
      <c r="AL186" s="43">
        <f t="shared" ca="1" si="56"/>
        <v>186.79050000000001</v>
      </c>
      <c r="AM186" s="43">
        <f t="shared" ca="1" si="57"/>
        <v>120.51</v>
      </c>
      <c r="AN186" s="43">
        <f t="shared" ca="1" si="58"/>
        <v>119.12050000000001</v>
      </c>
      <c r="AO186" s="44" t="str">
        <f t="shared" ca="1" si="59"/>
        <v>R$ 29,78 x 4 Parcelas</v>
      </c>
    </row>
    <row r="187" spans="1:41" x14ac:dyDescent="0.3">
      <c r="A187" t="s">
        <v>388</v>
      </c>
      <c r="B187" t="s">
        <v>389</v>
      </c>
      <c r="C187" t="s">
        <v>390</v>
      </c>
      <c r="D187" t="s">
        <v>391</v>
      </c>
      <c r="E187" t="s">
        <v>392</v>
      </c>
      <c r="F187" t="s">
        <v>393</v>
      </c>
      <c r="G187" s="1">
        <v>5147</v>
      </c>
      <c r="H187" t="s">
        <v>394</v>
      </c>
      <c r="I187" t="s">
        <v>29</v>
      </c>
      <c r="J187" t="s">
        <v>395</v>
      </c>
      <c r="K187" t="s">
        <v>396</v>
      </c>
      <c r="L187" t="s">
        <v>48</v>
      </c>
      <c r="M187" s="1">
        <v>7</v>
      </c>
      <c r="N187" s="4">
        <v>45606</v>
      </c>
      <c r="O187" s="2">
        <v>122.01</v>
      </c>
      <c r="P187" s="2">
        <v>19.559999999999999</v>
      </c>
      <c r="Q187" s="2">
        <v>2.44</v>
      </c>
      <c r="R187" s="2">
        <f t="shared" si="60"/>
        <v>141.57</v>
      </c>
      <c r="S187" t="s">
        <v>356</v>
      </c>
      <c r="T187" t="s">
        <v>387</v>
      </c>
      <c r="U187" s="5">
        <f t="shared" ca="1" si="43"/>
        <v>484</v>
      </c>
      <c r="V187" s="37">
        <f t="shared" ca="1" si="42"/>
        <v>19.559999999999999</v>
      </c>
      <c r="W187" s="38">
        <f t="shared" ca="1" si="44"/>
        <v>141.57</v>
      </c>
      <c r="X187" s="38">
        <f t="shared" ca="1" si="45"/>
        <v>141.57</v>
      </c>
      <c r="Y187" s="39">
        <f t="shared" ca="1" si="61"/>
        <v>0</v>
      </c>
      <c r="Z187" s="39">
        <f t="shared" ca="1" si="46"/>
        <v>141.57</v>
      </c>
      <c r="AA187" s="40" t="str">
        <f t="shared" ca="1" si="47"/>
        <v>R$ 141,57 x 1 Parcelas</v>
      </c>
      <c r="AC187" s="17">
        <f t="shared" si="48"/>
        <v>19.559999999999999</v>
      </c>
      <c r="AD187" s="17">
        <f t="shared" si="49"/>
        <v>141.57</v>
      </c>
      <c r="AE187" s="17">
        <f t="shared" ca="1" si="50"/>
        <v>124.58159999999999</v>
      </c>
      <c r="AF187" s="17">
        <f t="shared" ca="1" si="51"/>
        <v>99.09899999999999</v>
      </c>
      <c r="AG187" s="17">
        <f t="shared" ca="1" si="52"/>
        <v>42.471000000000004</v>
      </c>
      <c r="AH187" s="15" t="str">
        <f t="shared" ca="1" si="53"/>
        <v>R$ 10,62 x 4 Parcelas</v>
      </c>
      <c r="AJ187" s="41">
        <f t="shared" si="54"/>
        <v>19.559999999999999</v>
      </c>
      <c r="AK187" s="42">
        <f t="shared" si="55"/>
        <v>141.57</v>
      </c>
      <c r="AL187" s="43">
        <f t="shared" ca="1" si="56"/>
        <v>131.66009999999997</v>
      </c>
      <c r="AM187" s="43">
        <f t="shared" ca="1" si="57"/>
        <v>84.941999999999993</v>
      </c>
      <c r="AN187" s="43">
        <f t="shared" ca="1" si="58"/>
        <v>112.10009999999997</v>
      </c>
      <c r="AO187" s="44" t="str">
        <f t="shared" ca="1" si="59"/>
        <v>R$ 28,03 x 4 Parcelas</v>
      </c>
    </row>
    <row r="188" spans="1:41" x14ac:dyDescent="0.3">
      <c r="A188" t="s">
        <v>433</v>
      </c>
      <c r="B188" t="s">
        <v>434</v>
      </c>
      <c r="C188" t="s">
        <v>435</v>
      </c>
      <c r="D188" t="s">
        <v>21</v>
      </c>
      <c r="E188" t="s">
        <v>432</v>
      </c>
      <c r="F188" t="s">
        <v>436</v>
      </c>
      <c r="G188" s="1">
        <v>31</v>
      </c>
      <c r="H188" t="s">
        <v>437</v>
      </c>
      <c r="I188" t="s">
        <v>29</v>
      </c>
      <c r="J188" t="s">
        <v>438</v>
      </c>
      <c r="K188" t="s">
        <v>21</v>
      </c>
      <c r="L188" t="s">
        <v>48</v>
      </c>
      <c r="M188" s="1">
        <v>7</v>
      </c>
      <c r="N188" s="4">
        <v>45606</v>
      </c>
      <c r="O188" s="2">
        <v>133.16999999999999</v>
      </c>
      <c r="P188" s="2">
        <v>64.05</v>
      </c>
      <c r="Q188" s="2">
        <v>2.66</v>
      </c>
      <c r="R188" s="2">
        <f t="shared" si="60"/>
        <v>197.21999999999997</v>
      </c>
      <c r="S188" t="s">
        <v>356</v>
      </c>
      <c r="T188" t="s">
        <v>387</v>
      </c>
      <c r="U188" s="5">
        <f t="shared" ca="1" si="43"/>
        <v>484</v>
      </c>
      <c r="V188" s="37">
        <f t="shared" ca="1" si="42"/>
        <v>64.05</v>
      </c>
      <c r="W188" s="38">
        <f t="shared" ca="1" si="44"/>
        <v>197.21999999999997</v>
      </c>
      <c r="X188" s="38">
        <f t="shared" ca="1" si="45"/>
        <v>197.21999999999997</v>
      </c>
      <c r="Y188" s="39">
        <f t="shared" ca="1" si="61"/>
        <v>0</v>
      </c>
      <c r="Z188" s="39">
        <f t="shared" ca="1" si="46"/>
        <v>197.21999999999997</v>
      </c>
      <c r="AA188" s="40" t="str">
        <f t="shared" ca="1" si="47"/>
        <v>R$ 197,22 x 1 Parcelas</v>
      </c>
      <c r="AC188" s="17">
        <f t="shared" si="48"/>
        <v>64.05</v>
      </c>
      <c r="AD188" s="17">
        <f t="shared" si="49"/>
        <v>197.21999999999997</v>
      </c>
      <c r="AE188" s="17">
        <f t="shared" ca="1" si="50"/>
        <v>173.55359999999999</v>
      </c>
      <c r="AF188" s="17">
        <f t="shared" ca="1" si="51"/>
        <v>138.05399999999997</v>
      </c>
      <c r="AG188" s="17">
        <f t="shared" ca="1" si="52"/>
        <v>59.165999999999997</v>
      </c>
      <c r="AH188" s="15" t="str">
        <f t="shared" ca="1" si="53"/>
        <v>R$ 14,79 x 4 Parcelas</v>
      </c>
      <c r="AJ188" s="41">
        <f t="shared" si="54"/>
        <v>64.05</v>
      </c>
      <c r="AK188" s="42">
        <f t="shared" si="55"/>
        <v>197.21999999999997</v>
      </c>
      <c r="AL188" s="43">
        <f t="shared" ca="1" si="56"/>
        <v>183.41459999999995</v>
      </c>
      <c r="AM188" s="43">
        <f t="shared" ca="1" si="57"/>
        <v>118.33199999999998</v>
      </c>
      <c r="AN188" s="43">
        <f t="shared" ca="1" si="58"/>
        <v>119.36459999999995</v>
      </c>
      <c r="AO188" s="44" t="str">
        <f t="shared" ca="1" si="59"/>
        <v>R$ 29,84 x 4 Parcelas</v>
      </c>
    </row>
    <row r="189" spans="1:41" x14ac:dyDescent="0.3">
      <c r="A189" t="s">
        <v>433</v>
      </c>
      <c r="B189" t="s">
        <v>434</v>
      </c>
      <c r="C189" t="s">
        <v>435</v>
      </c>
      <c r="D189" t="s">
        <v>21</v>
      </c>
      <c r="E189" t="s">
        <v>432</v>
      </c>
      <c r="F189" t="s">
        <v>436</v>
      </c>
      <c r="G189" s="1">
        <v>31</v>
      </c>
      <c r="H189" t="s">
        <v>437</v>
      </c>
      <c r="I189" t="s">
        <v>29</v>
      </c>
      <c r="J189" t="s">
        <v>438</v>
      </c>
      <c r="K189" t="s">
        <v>21</v>
      </c>
      <c r="L189" t="s">
        <v>48</v>
      </c>
      <c r="M189" s="1">
        <v>7</v>
      </c>
      <c r="N189" s="4">
        <v>45606</v>
      </c>
      <c r="O189" s="2">
        <v>133.16999999999999</v>
      </c>
      <c r="P189" s="2">
        <v>64.05</v>
      </c>
      <c r="Q189" s="2">
        <v>2.66</v>
      </c>
      <c r="R189" s="2">
        <f t="shared" si="60"/>
        <v>197.21999999999997</v>
      </c>
      <c r="S189" t="s">
        <v>356</v>
      </c>
      <c r="T189" t="s">
        <v>387</v>
      </c>
      <c r="U189" s="5">
        <f t="shared" ca="1" si="43"/>
        <v>484</v>
      </c>
      <c r="V189" s="37">
        <f t="shared" ca="1" si="42"/>
        <v>64.05</v>
      </c>
      <c r="W189" s="38">
        <f t="shared" ca="1" si="44"/>
        <v>197.21999999999997</v>
      </c>
      <c r="X189" s="38">
        <f t="shared" ca="1" si="45"/>
        <v>197.21999999999997</v>
      </c>
      <c r="Y189" s="39">
        <f t="shared" ca="1" si="61"/>
        <v>0</v>
      </c>
      <c r="Z189" s="39">
        <f t="shared" ca="1" si="46"/>
        <v>197.21999999999997</v>
      </c>
      <c r="AA189" s="40" t="str">
        <f t="shared" ca="1" si="47"/>
        <v>R$ 197,22 x 1 Parcelas</v>
      </c>
      <c r="AC189" s="17">
        <f t="shared" si="48"/>
        <v>64.05</v>
      </c>
      <c r="AD189" s="17">
        <f t="shared" si="49"/>
        <v>197.21999999999997</v>
      </c>
      <c r="AE189" s="17">
        <f t="shared" ca="1" si="50"/>
        <v>173.55359999999999</v>
      </c>
      <c r="AF189" s="17">
        <f t="shared" ca="1" si="51"/>
        <v>138.05399999999997</v>
      </c>
      <c r="AG189" s="17">
        <f t="shared" ca="1" si="52"/>
        <v>59.165999999999997</v>
      </c>
      <c r="AH189" s="15" t="str">
        <f t="shared" ca="1" si="53"/>
        <v>R$ 14,79 x 4 Parcelas</v>
      </c>
      <c r="AJ189" s="41">
        <f t="shared" si="54"/>
        <v>64.05</v>
      </c>
      <c r="AK189" s="42">
        <f t="shared" si="55"/>
        <v>197.21999999999997</v>
      </c>
      <c r="AL189" s="43">
        <f t="shared" ca="1" si="56"/>
        <v>183.41459999999995</v>
      </c>
      <c r="AM189" s="43">
        <f t="shared" ca="1" si="57"/>
        <v>118.33199999999998</v>
      </c>
      <c r="AN189" s="43">
        <f t="shared" ca="1" si="58"/>
        <v>119.36459999999995</v>
      </c>
      <c r="AO189" s="44" t="str">
        <f t="shared" ca="1" si="59"/>
        <v>R$ 29,84 x 4 Parcelas</v>
      </c>
    </row>
    <row r="190" spans="1:41" x14ac:dyDescent="0.3">
      <c r="A190" t="s">
        <v>433</v>
      </c>
      <c r="B190" t="s">
        <v>434</v>
      </c>
      <c r="C190" t="s">
        <v>435</v>
      </c>
      <c r="D190" t="s">
        <v>21</v>
      </c>
      <c r="E190" t="s">
        <v>432</v>
      </c>
      <c r="F190" t="s">
        <v>436</v>
      </c>
      <c r="G190" s="1">
        <v>31</v>
      </c>
      <c r="H190" t="s">
        <v>437</v>
      </c>
      <c r="I190" t="s">
        <v>29</v>
      </c>
      <c r="J190" t="s">
        <v>438</v>
      </c>
      <c r="K190" t="s">
        <v>21</v>
      </c>
      <c r="L190" t="s">
        <v>48</v>
      </c>
      <c r="M190" s="1">
        <v>7</v>
      </c>
      <c r="N190" s="4">
        <v>45606</v>
      </c>
      <c r="O190" s="2">
        <v>113.17</v>
      </c>
      <c r="P190" s="2">
        <v>54.43</v>
      </c>
      <c r="Q190" s="2">
        <v>2.2599999999999998</v>
      </c>
      <c r="R190" s="2">
        <f t="shared" si="60"/>
        <v>167.6</v>
      </c>
      <c r="S190" t="s">
        <v>356</v>
      </c>
      <c r="T190" t="s">
        <v>387</v>
      </c>
      <c r="U190" s="5">
        <f t="shared" ca="1" si="43"/>
        <v>484</v>
      </c>
      <c r="V190" s="37">
        <f t="shared" ca="1" si="42"/>
        <v>54.43</v>
      </c>
      <c r="W190" s="38">
        <f t="shared" ca="1" si="44"/>
        <v>167.6</v>
      </c>
      <c r="X190" s="38">
        <f t="shared" ca="1" si="45"/>
        <v>167.6</v>
      </c>
      <c r="Y190" s="39">
        <f t="shared" ca="1" si="61"/>
        <v>0</v>
      </c>
      <c r="Z190" s="39">
        <f t="shared" ca="1" si="46"/>
        <v>167.6</v>
      </c>
      <c r="AA190" s="40" t="str">
        <f t="shared" ca="1" si="47"/>
        <v>R$ 167,60 x 1 Parcelas</v>
      </c>
      <c r="AC190" s="17">
        <f t="shared" si="48"/>
        <v>54.43</v>
      </c>
      <c r="AD190" s="17">
        <f t="shared" si="49"/>
        <v>167.6</v>
      </c>
      <c r="AE190" s="17">
        <f t="shared" ca="1" si="50"/>
        <v>147.488</v>
      </c>
      <c r="AF190" s="17">
        <f t="shared" ca="1" si="51"/>
        <v>117.32</v>
      </c>
      <c r="AG190" s="17">
        <f t="shared" ca="1" si="52"/>
        <v>50.28</v>
      </c>
      <c r="AH190" s="15" t="str">
        <f t="shared" ca="1" si="53"/>
        <v>R$ 12,57 x 4 Parcelas</v>
      </c>
      <c r="AJ190" s="41">
        <f t="shared" si="54"/>
        <v>54.43</v>
      </c>
      <c r="AK190" s="42">
        <f t="shared" si="55"/>
        <v>167.6</v>
      </c>
      <c r="AL190" s="43">
        <f t="shared" ca="1" si="56"/>
        <v>155.86799999999999</v>
      </c>
      <c r="AM190" s="43">
        <f t="shared" ca="1" si="57"/>
        <v>100.55999999999999</v>
      </c>
      <c r="AN190" s="43">
        <f t="shared" ca="1" si="58"/>
        <v>101.43799999999999</v>
      </c>
      <c r="AO190" s="44" t="str">
        <f t="shared" ca="1" si="59"/>
        <v>R$ 25,36 x 4 Parcelas</v>
      </c>
    </row>
    <row r="191" spans="1:41" x14ac:dyDescent="0.3">
      <c r="A191" t="s">
        <v>380</v>
      </c>
      <c r="B191" t="s">
        <v>381</v>
      </c>
      <c r="C191" t="s">
        <v>382</v>
      </c>
      <c r="D191" t="s">
        <v>21</v>
      </c>
      <c r="E191" t="s">
        <v>383</v>
      </c>
      <c r="F191" t="s">
        <v>384</v>
      </c>
      <c r="G191" s="1">
        <v>595</v>
      </c>
      <c r="H191" t="s">
        <v>305</v>
      </c>
      <c r="I191" t="s">
        <v>29</v>
      </c>
      <c r="J191" t="s">
        <v>385</v>
      </c>
      <c r="K191" t="s">
        <v>386</v>
      </c>
      <c r="L191" t="s">
        <v>48</v>
      </c>
      <c r="M191" s="1">
        <v>7</v>
      </c>
      <c r="N191" s="4">
        <v>45611</v>
      </c>
      <c r="O191" s="2">
        <v>113.17</v>
      </c>
      <c r="P191" s="2">
        <v>53.64</v>
      </c>
      <c r="Q191" s="2">
        <v>2.2599999999999998</v>
      </c>
      <c r="R191" s="2">
        <f t="shared" si="60"/>
        <v>166.81</v>
      </c>
      <c r="S191" t="s">
        <v>356</v>
      </c>
      <c r="T191" t="s">
        <v>387</v>
      </c>
      <c r="U191" s="5">
        <f t="shared" ca="1" si="43"/>
        <v>479</v>
      </c>
      <c r="V191" s="37">
        <f t="shared" ca="1" si="42"/>
        <v>53.64</v>
      </c>
      <c r="W191" s="38">
        <f t="shared" ca="1" si="44"/>
        <v>166.81</v>
      </c>
      <c r="X191" s="38">
        <f t="shared" ca="1" si="45"/>
        <v>166.81</v>
      </c>
      <c r="Y191" s="39">
        <f t="shared" ca="1" si="61"/>
        <v>0</v>
      </c>
      <c r="Z191" s="39">
        <f t="shared" ca="1" si="46"/>
        <v>166.81</v>
      </c>
      <c r="AA191" s="40" t="str">
        <f t="shared" ca="1" si="47"/>
        <v>R$ 166,81 x 1 Parcelas</v>
      </c>
      <c r="AC191" s="17">
        <f t="shared" si="48"/>
        <v>53.64</v>
      </c>
      <c r="AD191" s="17">
        <f t="shared" si="49"/>
        <v>166.81</v>
      </c>
      <c r="AE191" s="17">
        <f t="shared" ca="1" si="50"/>
        <v>146.7928</v>
      </c>
      <c r="AF191" s="17">
        <f t="shared" ca="1" si="51"/>
        <v>116.767</v>
      </c>
      <c r="AG191" s="17">
        <f t="shared" ca="1" si="52"/>
        <v>50.043000000000006</v>
      </c>
      <c r="AH191" s="15" t="str">
        <f t="shared" ca="1" si="53"/>
        <v>R$ 12,51 x 4 Parcelas</v>
      </c>
      <c r="AJ191" s="41">
        <f t="shared" si="54"/>
        <v>53.64</v>
      </c>
      <c r="AK191" s="42">
        <f t="shared" si="55"/>
        <v>166.81</v>
      </c>
      <c r="AL191" s="43">
        <f t="shared" ca="1" si="56"/>
        <v>155.13329999999999</v>
      </c>
      <c r="AM191" s="43">
        <f t="shared" ca="1" si="57"/>
        <v>100.086</v>
      </c>
      <c r="AN191" s="43">
        <f t="shared" ca="1" si="58"/>
        <v>101.49329999999999</v>
      </c>
      <c r="AO191" s="44" t="str">
        <f t="shared" ca="1" si="59"/>
        <v>R$ 25,37 x 4 Parcelas</v>
      </c>
    </row>
    <row r="192" spans="1:41" x14ac:dyDescent="0.3">
      <c r="A192" t="s">
        <v>380</v>
      </c>
      <c r="B192" t="s">
        <v>381</v>
      </c>
      <c r="C192" t="s">
        <v>382</v>
      </c>
      <c r="D192" t="s">
        <v>21</v>
      </c>
      <c r="E192" t="s">
        <v>383</v>
      </c>
      <c r="F192" t="s">
        <v>384</v>
      </c>
      <c r="G192" s="1">
        <v>595</v>
      </c>
      <c r="H192" t="s">
        <v>305</v>
      </c>
      <c r="I192" t="s">
        <v>29</v>
      </c>
      <c r="J192" t="s">
        <v>385</v>
      </c>
      <c r="K192" t="s">
        <v>386</v>
      </c>
      <c r="L192" t="s">
        <v>48</v>
      </c>
      <c r="M192" s="1">
        <v>7</v>
      </c>
      <c r="N192" s="4">
        <v>45611</v>
      </c>
      <c r="O192" s="2">
        <v>113.17</v>
      </c>
      <c r="P192" s="2">
        <v>53.64</v>
      </c>
      <c r="Q192" s="2">
        <v>2.2599999999999998</v>
      </c>
      <c r="R192" s="2">
        <f t="shared" si="60"/>
        <v>166.81</v>
      </c>
      <c r="S192" t="s">
        <v>356</v>
      </c>
      <c r="T192" t="s">
        <v>387</v>
      </c>
      <c r="U192" s="5">
        <f t="shared" ca="1" si="43"/>
        <v>479</v>
      </c>
      <c r="V192" s="37">
        <f t="shared" ca="1" si="42"/>
        <v>53.64</v>
      </c>
      <c r="W192" s="38">
        <f t="shared" ca="1" si="44"/>
        <v>166.81</v>
      </c>
      <c r="X192" s="38">
        <f t="shared" ca="1" si="45"/>
        <v>166.81</v>
      </c>
      <c r="Y192" s="39">
        <f t="shared" ca="1" si="61"/>
        <v>0</v>
      </c>
      <c r="Z192" s="39">
        <f t="shared" ca="1" si="46"/>
        <v>166.81</v>
      </c>
      <c r="AA192" s="40" t="str">
        <f t="shared" ca="1" si="47"/>
        <v>R$ 166,81 x 1 Parcelas</v>
      </c>
      <c r="AC192" s="17">
        <f t="shared" si="48"/>
        <v>53.64</v>
      </c>
      <c r="AD192" s="17">
        <f t="shared" si="49"/>
        <v>166.81</v>
      </c>
      <c r="AE192" s="17">
        <f t="shared" ca="1" si="50"/>
        <v>146.7928</v>
      </c>
      <c r="AF192" s="17">
        <f t="shared" ca="1" si="51"/>
        <v>116.767</v>
      </c>
      <c r="AG192" s="17">
        <f t="shared" ca="1" si="52"/>
        <v>50.043000000000006</v>
      </c>
      <c r="AH192" s="15" t="str">
        <f t="shared" ca="1" si="53"/>
        <v>R$ 12,51 x 4 Parcelas</v>
      </c>
      <c r="AJ192" s="41">
        <f t="shared" si="54"/>
        <v>53.64</v>
      </c>
      <c r="AK192" s="42">
        <f t="shared" si="55"/>
        <v>166.81</v>
      </c>
      <c r="AL192" s="43">
        <f t="shared" ca="1" si="56"/>
        <v>155.13329999999999</v>
      </c>
      <c r="AM192" s="43">
        <f t="shared" ca="1" si="57"/>
        <v>100.086</v>
      </c>
      <c r="AN192" s="43">
        <f t="shared" ca="1" si="58"/>
        <v>101.49329999999999</v>
      </c>
      <c r="AO192" s="44" t="str">
        <f t="shared" ca="1" si="59"/>
        <v>R$ 25,37 x 4 Parcelas</v>
      </c>
    </row>
    <row r="193" spans="1:41" x14ac:dyDescent="0.3">
      <c r="A193" t="s">
        <v>440</v>
      </c>
      <c r="B193" t="s">
        <v>441</v>
      </c>
      <c r="C193" t="s">
        <v>442</v>
      </c>
      <c r="D193" t="s">
        <v>21</v>
      </c>
      <c r="E193" t="s">
        <v>439</v>
      </c>
      <c r="F193" t="s">
        <v>443</v>
      </c>
      <c r="G193" s="1">
        <v>628</v>
      </c>
      <c r="H193" t="s">
        <v>59</v>
      </c>
      <c r="I193" t="s">
        <v>29</v>
      </c>
      <c r="J193" t="s">
        <v>444</v>
      </c>
      <c r="K193" t="s">
        <v>21</v>
      </c>
      <c r="L193" t="s">
        <v>48</v>
      </c>
      <c r="M193" s="1">
        <v>1</v>
      </c>
      <c r="N193" s="4">
        <v>45619</v>
      </c>
      <c r="O193" s="2">
        <v>264.04000000000002</v>
      </c>
      <c r="P193" s="2">
        <v>123.31</v>
      </c>
      <c r="Q193" s="2">
        <v>5.28</v>
      </c>
      <c r="R193" s="2">
        <f t="shared" si="60"/>
        <v>387.35</v>
      </c>
      <c r="S193" t="s">
        <v>31</v>
      </c>
      <c r="T193" t="s">
        <v>387</v>
      </c>
      <c r="U193" s="5">
        <f t="shared" ca="1" si="43"/>
        <v>471</v>
      </c>
      <c r="V193" s="37">
        <f t="shared" ca="1" si="42"/>
        <v>123.31</v>
      </c>
      <c r="W193" s="38">
        <f t="shared" ca="1" si="44"/>
        <v>387.35</v>
      </c>
      <c r="X193" s="38">
        <f t="shared" ca="1" si="45"/>
        <v>387.35</v>
      </c>
      <c r="Y193" s="39">
        <f t="shared" ca="1" si="61"/>
        <v>0</v>
      </c>
      <c r="Z193" s="39">
        <f t="shared" ca="1" si="46"/>
        <v>387.35</v>
      </c>
      <c r="AA193" s="40" t="str">
        <f t="shared" ca="1" si="47"/>
        <v>R$ 387,35 x 1 Parcelas</v>
      </c>
      <c r="AC193" s="17">
        <f t="shared" si="48"/>
        <v>123.31</v>
      </c>
      <c r="AD193" s="17">
        <f t="shared" si="49"/>
        <v>387.35</v>
      </c>
      <c r="AE193" s="17">
        <f t="shared" ca="1" si="50"/>
        <v>340.86799999999999</v>
      </c>
      <c r="AF193" s="17">
        <f t="shared" ca="1" si="51"/>
        <v>271.14499999999998</v>
      </c>
      <c r="AG193" s="17">
        <f t="shared" ca="1" si="52"/>
        <v>116.20500000000004</v>
      </c>
      <c r="AH193" s="15" t="str">
        <f t="shared" ca="1" si="53"/>
        <v>R$ 29,05 x 4 Parcelas</v>
      </c>
      <c r="AJ193" s="41">
        <f t="shared" si="54"/>
        <v>123.31</v>
      </c>
      <c r="AK193" s="42">
        <f t="shared" si="55"/>
        <v>387.35</v>
      </c>
      <c r="AL193" s="43">
        <f t="shared" ca="1" si="56"/>
        <v>360.2355</v>
      </c>
      <c r="AM193" s="43">
        <f t="shared" ca="1" si="57"/>
        <v>232.41</v>
      </c>
      <c r="AN193" s="43">
        <f t="shared" ca="1" si="58"/>
        <v>236.9255</v>
      </c>
      <c r="AO193" s="44" t="str">
        <f t="shared" ca="1" si="59"/>
        <v>R$ 59,23 x 4 Parcelas</v>
      </c>
    </row>
    <row r="194" spans="1:41" x14ac:dyDescent="0.3">
      <c r="A194" t="s">
        <v>440</v>
      </c>
      <c r="B194" t="s">
        <v>441</v>
      </c>
      <c r="C194" t="s">
        <v>442</v>
      </c>
      <c r="D194" t="s">
        <v>21</v>
      </c>
      <c r="E194" t="s">
        <v>439</v>
      </c>
      <c r="F194" t="s">
        <v>443</v>
      </c>
      <c r="G194" s="1">
        <v>628</v>
      </c>
      <c r="H194" t="s">
        <v>59</v>
      </c>
      <c r="I194" t="s">
        <v>29</v>
      </c>
      <c r="J194" t="s">
        <v>444</v>
      </c>
      <c r="K194" t="s">
        <v>21</v>
      </c>
      <c r="L194" t="s">
        <v>48</v>
      </c>
      <c r="M194" s="1">
        <v>1</v>
      </c>
      <c r="N194" s="4">
        <v>45619</v>
      </c>
      <c r="O194" s="2">
        <v>195.03</v>
      </c>
      <c r="P194" s="2">
        <v>91.08</v>
      </c>
      <c r="Q194" s="2">
        <v>3.9</v>
      </c>
      <c r="R194" s="2">
        <f t="shared" si="60"/>
        <v>286.11</v>
      </c>
      <c r="S194" t="s">
        <v>31</v>
      </c>
      <c r="T194" t="s">
        <v>245</v>
      </c>
      <c r="U194" s="5">
        <f t="shared" ca="1" si="43"/>
        <v>471</v>
      </c>
      <c r="V194" s="37">
        <f t="shared" ca="1" si="42"/>
        <v>91.08</v>
      </c>
      <c r="W194" s="38">
        <f t="shared" ca="1" si="44"/>
        <v>286.11</v>
      </c>
      <c r="X194" s="38">
        <f t="shared" ca="1" si="45"/>
        <v>286.11</v>
      </c>
      <c r="Y194" s="39">
        <f t="shared" ca="1" si="61"/>
        <v>0</v>
      </c>
      <c r="Z194" s="39">
        <f t="shared" ca="1" si="46"/>
        <v>286.11</v>
      </c>
      <c r="AA194" s="40" t="str">
        <f t="shared" ca="1" si="47"/>
        <v>R$ 286,11 x 1 Parcelas</v>
      </c>
      <c r="AC194" s="17">
        <f t="shared" si="48"/>
        <v>91.08</v>
      </c>
      <c r="AD194" s="17">
        <f t="shared" si="49"/>
        <v>286.11</v>
      </c>
      <c r="AE194" s="17">
        <f t="shared" ca="1" si="50"/>
        <v>251.77680000000001</v>
      </c>
      <c r="AF194" s="17">
        <f t="shared" ca="1" si="51"/>
        <v>200.27699999999999</v>
      </c>
      <c r="AG194" s="17">
        <f t="shared" ca="1" si="52"/>
        <v>85.833000000000027</v>
      </c>
      <c r="AH194" s="15" t="str">
        <f t="shared" ca="1" si="53"/>
        <v>R$ 21,46 x 4 Parcelas</v>
      </c>
      <c r="AJ194" s="41">
        <f t="shared" si="54"/>
        <v>91.08</v>
      </c>
      <c r="AK194" s="42">
        <f t="shared" si="55"/>
        <v>286.11</v>
      </c>
      <c r="AL194" s="43">
        <f t="shared" ca="1" si="56"/>
        <v>266.08229999999998</v>
      </c>
      <c r="AM194" s="43">
        <f t="shared" ca="1" si="57"/>
        <v>171.666</v>
      </c>
      <c r="AN194" s="43">
        <f t="shared" ca="1" si="58"/>
        <v>175.00229999999999</v>
      </c>
      <c r="AO194" s="44" t="str">
        <f t="shared" ca="1" si="59"/>
        <v>R$ 43,75 x 4 Parcelas</v>
      </c>
    </row>
    <row r="195" spans="1:41" x14ac:dyDescent="0.3">
      <c r="A195" t="s">
        <v>421</v>
      </c>
      <c r="B195" t="s">
        <v>422</v>
      </c>
      <c r="C195" t="s">
        <v>423</v>
      </c>
      <c r="D195" t="s">
        <v>21</v>
      </c>
      <c r="E195" t="s">
        <v>420</v>
      </c>
      <c r="F195" t="s">
        <v>424</v>
      </c>
      <c r="G195" s="1">
        <v>28</v>
      </c>
      <c r="H195" t="s">
        <v>378</v>
      </c>
      <c r="I195" t="s">
        <v>29</v>
      </c>
      <c r="J195" t="s">
        <v>425</v>
      </c>
      <c r="K195" t="s">
        <v>21</v>
      </c>
      <c r="L195" t="s">
        <v>48</v>
      </c>
      <c r="M195" s="1">
        <v>6</v>
      </c>
      <c r="N195" s="4">
        <v>45630</v>
      </c>
      <c r="O195" s="2">
        <v>113.17</v>
      </c>
      <c r="P195" s="2">
        <v>51.83</v>
      </c>
      <c r="Q195" s="2">
        <v>2.2599999999999998</v>
      </c>
      <c r="R195" s="2">
        <f t="shared" si="60"/>
        <v>165</v>
      </c>
      <c r="S195" t="s">
        <v>356</v>
      </c>
      <c r="T195" t="s">
        <v>387</v>
      </c>
      <c r="U195" s="5">
        <f t="shared" ca="1" si="43"/>
        <v>460</v>
      </c>
      <c r="V195" s="37">
        <f t="shared" ref="V195:V258" ca="1" si="62">P195*(1-VLOOKUP(U195, $BC$3:$BG$12, 2, TRUE))</f>
        <v>51.83</v>
      </c>
      <c r="W195" s="38">
        <f t="shared" ca="1" si="44"/>
        <v>165</v>
      </c>
      <c r="X195" s="38">
        <f t="shared" ca="1" si="45"/>
        <v>165</v>
      </c>
      <c r="Y195" s="39">
        <f t="shared" ca="1" si="61"/>
        <v>0</v>
      </c>
      <c r="Z195" s="39">
        <f t="shared" ca="1" si="46"/>
        <v>165</v>
      </c>
      <c r="AA195" s="40" t="str">
        <f t="shared" ca="1" si="47"/>
        <v>R$ 165,00 x 1 Parcelas</v>
      </c>
      <c r="AC195" s="17">
        <f t="shared" si="48"/>
        <v>51.83</v>
      </c>
      <c r="AD195" s="17">
        <f t="shared" si="49"/>
        <v>165</v>
      </c>
      <c r="AE195" s="17">
        <f t="shared" ca="1" si="50"/>
        <v>145.19999999999999</v>
      </c>
      <c r="AF195" s="17">
        <f t="shared" ca="1" si="51"/>
        <v>115.49999999999999</v>
      </c>
      <c r="AG195" s="17">
        <f t="shared" ca="1" si="52"/>
        <v>49.500000000000014</v>
      </c>
      <c r="AH195" s="15" t="str">
        <f t="shared" ca="1" si="53"/>
        <v>R$ 12,38 x 4 Parcelas</v>
      </c>
      <c r="AJ195" s="41">
        <f t="shared" si="54"/>
        <v>51.83</v>
      </c>
      <c r="AK195" s="42">
        <f t="shared" si="55"/>
        <v>165</v>
      </c>
      <c r="AL195" s="43">
        <f t="shared" ca="1" si="56"/>
        <v>153.44999999999999</v>
      </c>
      <c r="AM195" s="43">
        <f t="shared" ca="1" si="57"/>
        <v>99</v>
      </c>
      <c r="AN195" s="43">
        <f t="shared" ca="1" si="58"/>
        <v>101.61999999999999</v>
      </c>
      <c r="AO195" s="44" t="str">
        <f t="shared" ca="1" si="59"/>
        <v>R$ 25,41 x 4 Parcelas</v>
      </c>
    </row>
    <row r="196" spans="1:41" x14ac:dyDescent="0.3">
      <c r="A196" t="s">
        <v>421</v>
      </c>
      <c r="B196" t="s">
        <v>422</v>
      </c>
      <c r="C196" t="s">
        <v>423</v>
      </c>
      <c r="D196" t="s">
        <v>21</v>
      </c>
      <c r="E196" t="s">
        <v>420</v>
      </c>
      <c r="F196" t="s">
        <v>424</v>
      </c>
      <c r="G196" s="1">
        <v>28</v>
      </c>
      <c r="H196" t="s">
        <v>378</v>
      </c>
      <c r="I196" t="s">
        <v>29</v>
      </c>
      <c r="J196" t="s">
        <v>425</v>
      </c>
      <c r="K196" t="s">
        <v>21</v>
      </c>
      <c r="L196" t="s">
        <v>48</v>
      </c>
      <c r="M196" s="1">
        <v>6</v>
      </c>
      <c r="N196" s="4">
        <v>45630</v>
      </c>
      <c r="O196" s="2">
        <v>18.829999999999998</v>
      </c>
      <c r="P196" s="2">
        <v>8.6199999999999992</v>
      </c>
      <c r="Q196" s="2">
        <v>0.38</v>
      </c>
      <c r="R196" s="2">
        <f t="shared" si="60"/>
        <v>27.449999999999996</v>
      </c>
      <c r="S196" t="s">
        <v>356</v>
      </c>
      <c r="T196" t="s">
        <v>245</v>
      </c>
      <c r="U196" s="5">
        <f t="shared" ref="U196:U207" ca="1" si="63">TODAY()-N196</f>
        <v>460</v>
      </c>
      <c r="V196" s="37">
        <f t="shared" ca="1" si="62"/>
        <v>8.6199999999999992</v>
      </c>
      <c r="W196" s="38">
        <f t="shared" ref="W196:W207" ca="1" si="64">O196+V196</f>
        <v>27.449999999999996</v>
      </c>
      <c r="X196" s="38">
        <f t="shared" ref="X196:X207" ca="1" si="65">W196 * (1 - VLOOKUP(U196, $BC$3:$BG$11, 3, TRUE))</f>
        <v>27.449999999999996</v>
      </c>
      <c r="Y196" s="39">
        <f t="shared" ca="1" si="61"/>
        <v>0</v>
      </c>
      <c r="Z196" s="39">
        <f t="shared" ref="Z196:Z207" ca="1" si="66">W196-Y196</f>
        <v>27.449999999999996</v>
      </c>
      <c r="AA196" s="40" t="str">
        <f t="shared" ref="AA196:AA207" ca="1" si="67">(TEXT(Z196/VLOOKUP(U196,$BC$4:$BG$11,5,1),"R$ #.##0,00")&amp;" x "&amp;VLOOKUP(U196,$BC$3:$BG$11,5,1)&amp;" Parcelas")</f>
        <v>R$ 27,45 x 1 Parcelas</v>
      </c>
      <c r="AC196" s="17">
        <f t="shared" ref="AC196:AC207" si="68">P196+Q217</f>
        <v>8.6199999999999992</v>
      </c>
      <c r="AD196" s="17">
        <f t="shared" ref="AD196:AD207" si="69">R196</f>
        <v>27.449999999999996</v>
      </c>
      <c r="AE196" s="17">
        <f t="shared" ref="AE196:AE207" ca="1" si="70">AD196 * (1 - VLOOKUP(U196, $AQ$3:$AU$11, 3, TRUE))</f>
        <v>24.155999999999995</v>
      </c>
      <c r="AF196" s="17">
        <f t="shared" ref="AF196:AF207" ca="1" si="71">AD196 * (1 - VLOOKUP(U196, $AQ$3:$AU$11, 4, TRUE))</f>
        <v>19.214999999999996</v>
      </c>
      <c r="AG196" s="17">
        <f t="shared" ref="AG196:AG207" ca="1" si="72">AD196-AF196</f>
        <v>8.2349999999999994</v>
      </c>
      <c r="AH196" s="15" t="str">
        <f t="shared" ref="AH196:AH207" ca="1" si="73">(TEXT(AG196/VLOOKUP(U196,$AQ$4:$AU$11,5,1),"R$ #.##0,00")&amp;" x "&amp;VLOOKUP(U196,$AQ$4:$AU$11,5,1)&amp;" Parcelas")</f>
        <v>R$ 2,06 x 4 Parcelas</v>
      </c>
      <c r="AJ196" s="41">
        <f t="shared" ref="AJ196:AJ207" si="74">P196+Q217</f>
        <v>8.6199999999999992</v>
      </c>
      <c r="AK196" s="42">
        <f t="shared" ref="AK196:AK207" si="75">R196</f>
        <v>27.449999999999996</v>
      </c>
      <c r="AL196" s="43">
        <f t="shared" ref="AL196:AL207" ca="1" si="76">AK196 * (1 - VLOOKUP(U196, $AW$4:$BA$12, 3, TRUE))</f>
        <v>25.528499999999994</v>
      </c>
      <c r="AM196" s="43">
        <f t="shared" ref="AM196:AM207" ca="1" si="77">AK196 * (1 - VLOOKUP(U196, $AW$4:$BA$12, 4, TRUE))</f>
        <v>16.469999999999995</v>
      </c>
      <c r="AN196" s="43">
        <f t="shared" ref="AN196:AN207" ca="1" si="78">AL196-AJ196</f>
        <v>16.908499999999997</v>
      </c>
      <c r="AO196" s="44" t="str">
        <f t="shared" ref="AO196:AO207" ca="1" si="79">(TEXT(AN196/VLOOKUP(U196,$AW$4:$BA$12,5,1),"R$ #.##0,00")&amp;" x "&amp;VLOOKUP(U196,$AQ$4:$AU$11,5,1)&amp;" Parcelas")</f>
        <v>R$ 4,23 x 4 Parcelas</v>
      </c>
    </row>
    <row r="197" spans="1:41" x14ac:dyDescent="0.3">
      <c r="A197" t="s">
        <v>421</v>
      </c>
      <c r="B197" t="s">
        <v>422</v>
      </c>
      <c r="C197" t="s">
        <v>423</v>
      </c>
      <c r="D197" t="s">
        <v>21</v>
      </c>
      <c r="E197" t="s">
        <v>420</v>
      </c>
      <c r="F197" t="s">
        <v>424</v>
      </c>
      <c r="G197" s="1">
        <v>28</v>
      </c>
      <c r="H197" t="s">
        <v>378</v>
      </c>
      <c r="I197" t="s">
        <v>29</v>
      </c>
      <c r="J197" t="s">
        <v>425</v>
      </c>
      <c r="K197" t="s">
        <v>21</v>
      </c>
      <c r="L197" t="s">
        <v>48</v>
      </c>
      <c r="M197" s="1">
        <v>8</v>
      </c>
      <c r="N197" s="4">
        <v>45631</v>
      </c>
      <c r="O197" s="2">
        <v>113.17</v>
      </c>
      <c r="P197" s="2">
        <v>51.72</v>
      </c>
      <c r="Q197" s="2">
        <v>2.2599999999999998</v>
      </c>
      <c r="R197" s="2">
        <f t="shared" ref="R197:R207" si="80">O197+P197</f>
        <v>164.89</v>
      </c>
      <c r="S197" t="s">
        <v>356</v>
      </c>
      <c r="T197" t="s">
        <v>387</v>
      </c>
      <c r="U197" s="5">
        <f t="shared" ca="1" si="63"/>
        <v>459</v>
      </c>
      <c r="V197" s="37">
        <f t="shared" ca="1" si="62"/>
        <v>51.72</v>
      </c>
      <c r="W197" s="38">
        <f t="shared" ca="1" si="64"/>
        <v>164.89</v>
      </c>
      <c r="X197" s="38">
        <f t="shared" ca="1" si="65"/>
        <v>164.89</v>
      </c>
      <c r="Y197" s="39">
        <f t="shared" ca="1" si="61"/>
        <v>0</v>
      </c>
      <c r="Z197" s="39">
        <f t="shared" ca="1" si="66"/>
        <v>164.89</v>
      </c>
      <c r="AA197" s="40" t="str">
        <f t="shared" ca="1" si="67"/>
        <v>R$ 164,89 x 1 Parcelas</v>
      </c>
      <c r="AC197" s="17">
        <f t="shared" si="68"/>
        <v>51.72</v>
      </c>
      <c r="AD197" s="17">
        <f t="shared" si="69"/>
        <v>164.89</v>
      </c>
      <c r="AE197" s="17">
        <f t="shared" ca="1" si="70"/>
        <v>145.10319999999999</v>
      </c>
      <c r="AF197" s="17">
        <f t="shared" ca="1" si="71"/>
        <v>115.42299999999999</v>
      </c>
      <c r="AG197" s="17">
        <f t="shared" ca="1" si="72"/>
        <v>49.466999999999999</v>
      </c>
      <c r="AH197" s="15" t="str">
        <f t="shared" ca="1" si="73"/>
        <v>R$ 12,37 x 4 Parcelas</v>
      </c>
      <c r="AJ197" s="41">
        <f t="shared" si="74"/>
        <v>51.72</v>
      </c>
      <c r="AK197" s="42">
        <f t="shared" si="75"/>
        <v>164.89</v>
      </c>
      <c r="AL197" s="43">
        <f t="shared" ca="1" si="76"/>
        <v>153.34769999999997</v>
      </c>
      <c r="AM197" s="43">
        <f t="shared" ca="1" si="77"/>
        <v>98.933999999999983</v>
      </c>
      <c r="AN197" s="43">
        <f t="shared" ca="1" si="78"/>
        <v>101.62769999999998</v>
      </c>
      <c r="AO197" s="44" t="str">
        <f t="shared" ca="1" si="79"/>
        <v>R$ 25,41 x 4 Parcelas</v>
      </c>
    </row>
    <row r="198" spans="1:41" x14ac:dyDescent="0.3">
      <c r="A198" t="s">
        <v>427</v>
      </c>
      <c r="B198" t="s">
        <v>428</v>
      </c>
      <c r="C198" t="s">
        <v>429</v>
      </c>
      <c r="D198" t="s">
        <v>21</v>
      </c>
      <c r="E198" t="s">
        <v>426</v>
      </c>
      <c r="F198" t="s">
        <v>430</v>
      </c>
      <c r="G198" s="1">
        <v>24</v>
      </c>
      <c r="H198" t="s">
        <v>333</v>
      </c>
      <c r="I198" t="s">
        <v>29</v>
      </c>
      <c r="J198" t="s">
        <v>431</v>
      </c>
      <c r="K198" t="s">
        <v>21</v>
      </c>
      <c r="L198" t="s">
        <v>48</v>
      </c>
      <c r="M198" s="1">
        <v>8</v>
      </c>
      <c r="N198" s="4">
        <v>45636</v>
      </c>
      <c r="O198" s="2">
        <v>113.17</v>
      </c>
      <c r="P198" s="2">
        <v>51.15</v>
      </c>
      <c r="Q198" s="2">
        <v>2.2599999999999998</v>
      </c>
      <c r="R198" s="2">
        <f t="shared" si="80"/>
        <v>164.32</v>
      </c>
      <c r="S198" t="s">
        <v>356</v>
      </c>
      <c r="T198" t="s">
        <v>387</v>
      </c>
      <c r="U198" s="5">
        <f t="shared" ca="1" si="63"/>
        <v>454</v>
      </c>
      <c r="V198" s="37">
        <f t="shared" ca="1" si="62"/>
        <v>51.15</v>
      </c>
      <c r="W198" s="38">
        <f t="shared" ca="1" si="64"/>
        <v>164.32</v>
      </c>
      <c r="X198" s="38">
        <f t="shared" ca="1" si="65"/>
        <v>164.32</v>
      </c>
      <c r="Y198" s="39">
        <f t="shared" ca="1" si="61"/>
        <v>0</v>
      </c>
      <c r="Z198" s="39">
        <f t="shared" ca="1" si="66"/>
        <v>164.32</v>
      </c>
      <c r="AA198" s="40" t="str">
        <f t="shared" ca="1" si="67"/>
        <v>R$ 164,32 x 1 Parcelas</v>
      </c>
      <c r="AC198" s="17">
        <f t="shared" si="68"/>
        <v>51.15</v>
      </c>
      <c r="AD198" s="17">
        <f t="shared" si="69"/>
        <v>164.32</v>
      </c>
      <c r="AE198" s="17">
        <f t="shared" ca="1" si="70"/>
        <v>144.60159999999999</v>
      </c>
      <c r="AF198" s="17">
        <f t="shared" ca="1" si="71"/>
        <v>115.02399999999999</v>
      </c>
      <c r="AG198" s="17">
        <f t="shared" ca="1" si="72"/>
        <v>49.296000000000006</v>
      </c>
      <c r="AH198" s="15" t="str">
        <f t="shared" ca="1" si="73"/>
        <v>R$ 12,32 x 4 Parcelas</v>
      </c>
      <c r="AJ198" s="41">
        <f t="shared" si="74"/>
        <v>51.15</v>
      </c>
      <c r="AK198" s="42">
        <f t="shared" si="75"/>
        <v>164.32</v>
      </c>
      <c r="AL198" s="43">
        <f t="shared" ca="1" si="76"/>
        <v>152.81759999999997</v>
      </c>
      <c r="AM198" s="43">
        <f t="shared" ca="1" si="77"/>
        <v>98.591999999999999</v>
      </c>
      <c r="AN198" s="43">
        <f t="shared" ca="1" si="78"/>
        <v>101.66759999999996</v>
      </c>
      <c r="AO198" s="44" t="str">
        <f t="shared" ca="1" si="79"/>
        <v>R$ 25,42 x 4 Parcelas</v>
      </c>
    </row>
    <row r="199" spans="1:41" x14ac:dyDescent="0.3">
      <c r="A199" t="s">
        <v>413</v>
      </c>
      <c r="B199" t="s">
        <v>414</v>
      </c>
      <c r="C199" t="s">
        <v>415</v>
      </c>
      <c r="D199" t="s">
        <v>21</v>
      </c>
      <c r="E199" t="s">
        <v>412</v>
      </c>
      <c r="F199" t="s">
        <v>416</v>
      </c>
      <c r="G199" s="1">
        <v>1241</v>
      </c>
      <c r="H199" t="s">
        <v>417</v>
      </c>
      <c r="I199" t="s">
        <v>29</v>
      </c>
      <c r="J199" t="s">
        <v>418</v>
      </c>
      <c r="K199" t="s">
        <v>419</v>
      </c>
      <c r="L199" t="s">
        <v>48</v>
      </c>
      <c r="M199" s="1">
        <v>8</v>
      </c>
      <c r="N199" s="4">
        <v>45636</v>
      </c>
      <c r="O199" s="2">
        <v>135.62</v>
      </c>
      <c r="P199" s="2">
        <v>61.3</v>
      </c>
      <c r="Q199" s="2">
        <v>2.71</v>
      </c>
      <c r="R199" s="2">
        <f t="shared" si="80"/>
        <v>196.92000000000002</v>
      </c>
      <c r="S199" t="s">
        <v>356</v>
      </c>
      <c r="T199" t="s">
        <v>387</v>
      </c>
      <c r="U199" s="5">
        <f t="shared" ca="1" si="63"/>
        <v>454</v>
      </c>
      <c r="V199" s="37">
        <f t="shared" ca="1" si="62"/>
        <v>61.3</v>
      </c>
      <c r="W199" s="38">
        <f t="shared" ca="1" si="64"/>
        <v>196.92000000000002</v>
      </c>
      <c r="X199" s="38">
        <f t="shared" ca="1" si="65"/>
        <v>196.92000000000002</v>
      </c>
      <c r="Y199" s="39">
        <f t="shared" ca="1" si="61"/>
        <v>0</v>
      </c>
      <c r="Z199" s="39">
        <f t="shared" ca="1" si="66"/>
        <v>196.92000000000002</v>
      </c>
      <c r="AA199" s="40" t="str">
        <f t="shared" ca="1" si="67"/>
        <v>R$ 196,92 x 1 Parcelas</v>
      </c>
      <c r="AC199" s="17">
        <f t="shared" si="68"/>
        <v>61.3</v>
      </c>
      <c r="AD199" s="17">
        <f t="shared" si="69"/>
        <v>196.92000000000002</v>
      </c>
      <c r="AE199" s="17">
        <f t="shared" ca="1" si="70"/>
        <v>173.28960000000001</v>
      </c>
      <c r="AF199" s="17">
        <f t="shared" ca="1" si="71"/>
        <v>137.84399999999999</v>
      </c>
      <c r="AG199" s="17">
        <f t="shared" ca="1" si="72"/>
        <v>59.076000000000022</v>
      </c>
      <c r="AH199" s="15" t="str">
        <f t="shared" ca="1" si="73"/>
        <v>R$ 14,77 x 4 Parcelas</v>
      </c>
      <c r="AJ199" s="41">
        <f t="shared" si="74"/>
        <v>61.3</v>
      </c>
      <c r="AK199" s="42">
        <f t="shared" si="75"/>
        <v>196.92000000000002</v>
      </c>
      <c r="AL199" s="43">
        <f t="shared" ca="1" si="76"/>
        <v>183.13560000000001</v>
      </c>
      <c r="AM199" s="43">
        <f t="shared" ca="1" si="77"/>
        <v>118.152</v>
      </c>
      <c r="AN199" s="43">
        <f t="shared" ca="1" si="78"/>
        <v>121.83560000000001</v>
      </c>
      <c r="AO199" s="44" t="str">
        <f t="shared" ca="1" si="79"/>
        <v>R$ 30,46 x 4 Parcelas</v>
      </c>
    </row>
    <row r="200" spans="1:41" x14ac:dyDescent="0.3">
      <c r="A200" t="s">
        <v>388</v>
      </c>
      <c r="B200" t="s">
        <v>389</v>
      </c>
      <c r="C200" t="s">
        <v>390</v>
      </c>
      <c r="D200" t="s">
        <v>391</v>
      </c>
      <c r="E200" t="s">
        <v>392</v>
      </c>
      <c r="F200" t="s">
        <v>393</v>
      </c>
      <c r="G200" s="1">
        <v>5147</v>
      </c>
      <c r="H200" t="s">
        <v>394</v>
      </c>
      <c r="I200" t="s">
        <v>29</v>
      </c>
      <c r="J200" t="s">
        <v>395</v>
      </c>
      <c r="K200" t="s">
        <v>396</v>
      </c>
      <c r="L200" t="s">
        <v>48</v>
      </c>
      <c r="M200" s="1">
        <v>8</v>
      </c>
      <c r="N200" s="4">
        <v>45636</v>
      </c>
      <c r="O200" s="2">
        <v>122.01</v>
      </c>
      <c r="P200" s="2">
        <v>18.38</v>
      </c>
      <c r="Q200" s="2">
        <v>2.44</v>
      </c>
      <c r="R200" s="2">
        <f t="shared" si="80"/>
        <v>140.39000000000001</v>
      </c>
      <c r="S200" t="s">
        <v>356</v>
      </c>
      <c r="T200" t="s">
        <v>387</v>
      </c>
      <c r="U200" s="5">
        <f t="shared" ca="1" si="63"/>
        <v>454</v>
      </c>
      <c r="V200" s="37">
        <f t="shared" ca="1" si="62"/>
        <v>18.38</v>
      </c>
      <c r="W200" s="38">
        <f t="shared" ca="1" si="64"/>
        <v>140.39000000000001</v>
      </c>
      <c r="X200" s="38">
        <f t="shared" ca="1" si="65"/>
        <v>140.39000000000001</v>
      </c>
      <c r="Y200" s="39">
        <f t="shared" ca="1" si="61"/>
        <v>0</v>
      </c>
      <c r="Z200" s="39">
        <f t="shared" ca="1" si="66"/>
        <v>140.39000000000001</v>
      </c>
      <c r="AA200" s="40" t="str">
        <f t="shared" ca="1" si="67"/>
        <v>R$ 140,39 x 1 Parcelas</v>
      </c>
      <c r="AC200" s="17">
        <f t="shared" si="68"/>
        <v>18.38</v>
      </c>
      <c r="AD200" s="17">
        <f t="shared" si="69"/>
        <v>140.39000000000001</v>
      </c>
      <c r="AE200" s="17">
        <f t="shared" ca="1" si="70"/>
        <v>123.54320000000001</v>
      </c>
      <c r="AF200" s="17">
        <f t="shared" ca="1" si="71"/>
        <v>98.27300000000001</v>
      </c>
      <c r="AG200" s="17">
        <f t="shared" ca="1" si="72"/>
        <v>42.117000000000004</v>
      </c>
      <c r="AH200" s="15" t="str">
        <f t="shared" ca="1" si="73"/>
        <v>R$ 10,53 x 4 Parcelas</v>
      </c>
      <c r="AJ200" s="41">
        <f t="shared" si="74"/>
        <v>18.38</v>
      </c>
      <c r="AK200" s="42">
        <f t="shared" si="75"/>
        <v>140.39000000000001</v>
      </c>
      <c r="AL200" s="43">
        <f t="shared" ca="1" si="76"/>
        <v>130.56270000000001</v>
      </c>
      <c r="AM200" s="43">
        <f t="shared" ca="1" si="77"/>
        <v>84.234000000000009</v>
      </c>
      <c r="AN200" s="43">
        <f t="shared" ca="1" si="78"/>
        <v>112.18270000000001</v>
      </c>
      <c r="AO200" s="44" t="str">
        <f t="shared" ca="1" si="79"/>
        <v>R$ 28,05 x 4 Parcelas</v>
      </c>
    </row>
    <row r="201" spans="1:41" x14ac:dyDescent="0.3">
      <c r="A201" t="s">
        <v>433</v>
      </c>
      <c r="B201" t="s">
        <v>434</v>
      </c>
      <c r="C201" t="s">
        <v>435</v>
      </c>
      <c r="D201" t="s">
        <v>21</v>
      </c>
      <c r="E201" t="s">
        <v>432</v>
      </c>
      <c r="F201" t="s">
        <v>436</v>
      </c>
      <c r="G201" s="1">
        <v>31</v>
      </c>
      <c r="H201" t="s">
        <v>437</v>
      </c>
      <c r="I201" t="s">
        <v>29</v>
      </c>
      <c r="J201" t="s">
        <v>438</v>
      </c>
      <c r="K201" t="s">
        <v>21</v>
      </c>
      <c r="L201" t="s">
        <v>48</v>
      </c>
      <c r="M201" s="1">
        <v>8</v>
      </c>
      <c r="N201" s="4">
        <v>45636</v>
      </c>
      <c r="O201" s="2">
        <v>133.16999999999999</v>
      </c>
      <c r="P201" s="2">
        <v>60.19</v>
      </c>
      <c r="Q201" s="2">
        <v>2.66</v>
      </c>
      <c r="R201" s="2">
        <f t="shared" si="80"/>
        <v>193.35999999999999</v>
      </c>
      <c r="S201" t="s">
        <v>356</v>
      </c>
      <c r="T201" t="s">
        <v>387</v>
      </c>
      <c r="U201" s="5">
        <f t="shared" ca="1" si="63"/>
        <v>454</v>
      </c>
      <c r="V201" s="37">
        <f t="shared" ca="1" si="62"/>
        <v>60.19</v>
      </c>
      <c r="W201" s="38">
        <f t="shared" ca="1" si="64"/>
        <v>193.35999999999999</v>
      </c>
      <c r="X201" s="38">
        <f t="shared" ca="1" si="65"/>
        <v>193.35999999999999</v>
      </c>
      <c r="Y201" s="39">
        <f t="shared" ca="1" si="61"/>
        <v>0</v>
      </c>
      <c r="Z201" s="39">
        <f t="shared" ca="1" si="66"/>
        <v>193.35999999999999</v>
      </c>
      <c r="AA201" s="40" t="str">
        <f t="shared" ca="1" si="67"/>
        <v>R$ 193,36 x 1 Parcelas</v>
      </c>
      <c r="AC201" s="17">
        <f t="shared" si="68"/>
        <v>60.19</v>
      </c>
      <c r="AD201" s="17">
        <f t="shared" si="69"/>
        <v>193.35999999999999</v>
      </c>
      <c r="AE201" s="17">
        <f t="shared" ca="1" si="70"/>
        <v>170.15679999999998</v>
      </c>
      <c r="AF201" s="17">
        <f t="shared" ca="1" si="71"/>
        <v>135.35199999999998</v>
      </c>
      <c r="AG201" s="17">
        <f t="shared" ca="1" si="72"/>
        <v>58.00800000000001</v>
      </c>
      <c r="AH201" s="15" t="str">
        <f t="shared" ca="1" si="73"/>
        <v>R$ 14,50 x 4 Parcelas</v>
      </c>
      <c r="AJ201" s="41">
        <f t="shared" si="74"/>
        <v>60.19</v>
      </c>
      <c r="AK201" s="42">
        <f t="shared" si="75"/>
        <v>193.35999999999999</v>
      </c>
      <c r="AL201" s="43">
        <f t="shared" ca="1" si="76"/>
        <v>179.82479999999998</v>
      </c>
      <c r="AM201" s="43">
        <f t="shared" ca="1" si="77"/>
        <v>116.01599999999999</v>
      </c>
      <c r="AN201" s="43">
        <f t="shared" ca="1" si="78"/>
        <v>119.63479999999998</v>
      </c>
      <c r="AO201" s="44" t="str">
        <f t="shared" ca="1" si="79"/>
        <v>R$ 29,91 x 4 Parcelas</v>
      </c>
    </row>
    <row r="202" spans="1:41" x14ac:dyDescent="0.3">
      <c r="A202" t="s">
        <v>433</v>
      </c>
      <c r="B202" t="s">
        <v>434</v>
      </c>
      <c r="C202" t="s">
        <v>435</v>
      </c>
      <c r="D202" t="s">
        <v>21</v>
      </c>
      <c r="E202" t="s">
        <v>432</v>
      </c>
      <c r="F202" t="s">
        <v>436</v>
      </c>
      <c r="G202" s="1">
        <v>31</v>
      </c>
      <c r="H202" t="s">
        <v>437</v>
      </c>
      <c r="I202" t="s">
        <v>29</v>
      </c>
      <c r="J202" t="s">
        <v>438</v>
      </c>
      <c r="K202" t="s">
        <v>21</v>
      </c>
      <c r="L202" t="s">
        <v>48</v>
      </c>
      <c r="M202" s="1">
        <v>8</v>
      </c>
      <c r="N202" s="4">
        <v>45636</v>
      </c>
      <c r="O202" s="2">
        <v>133.16999999999999</v>
      </c>
      <c r="P202" s="2">
        <v>60.19</v>
      </c>
      <c r="Q202" s="2">
        <v>2.66</v>
      </c>
      <c r="R202" s="2">
        <f t="shared" si="80"/>
        <v>193.35999999999999</v>
      </c>
      <c r="S202" t="s">
        <v>356</v>
      </c>
      <c r="T202" t="s">
        <v>387</v>
      </c>
      <c r="U202" s="5">
        <f t="shared" ca="1" si="63"/>
        <v>454</v>
      </c>
      <c r="V202" s="37">
        <f t="shared" ca="1" si="62"/>
        <v>60.19</v>
      </c>
      <c r="W202" s="38">
        <f t="shared" ca="1" si="64"/>
        <v>193.35999999999999</v>
      </c>
      <c r="X202" s="38">
        <f t="shared" ca="1" si="65"/>
        <v>193.35999999999999</v>
      </c>
      <c r="Y202" s="39">
        <f t="shared" ca="1" si="61"/>
        <v>0</v>
      </c>
      <c r="Z202" s="39">
        <f t="shared" ca="1" si="66"/>
        <v>193.35999999999999</v>
      </c>
      <c r="AA202" s="40" t="str">
        <f t="shared" ca="1" si="67"/>
        <v>R$ 193,36 x 1 Parcelas</v>
      </c>
      <c r="AC202" s="17">
        <f t="shared" si="68"/>
        <v>60.19</v>
      </c>
      <c r="AD202" s="17">
        <f t="shared" si="69"/>
        <v>193.35999999999999</v>
      </c>
      <c r="AE202" s="17">
        <f t="shared" ca="1" si="70"/>
        <v>170.15679999999998</v>
      </c>
      <c r="AF202" s="17">
        <f t="shared" ca="1" si="71"/>
        <v>135.35199999999998</v>
      </c>
      <c r="AG202" s="17">
        <f t="shared" ca="1" si="72"/>
        <v>58.00800000000001</v>
      </c>
      <c r="AH202" s="15" t="str">
        <f t="shared" ca="1" si="73"/>
        <v>R$ 14,50 x 4 Parcelas</v>
      </c>
      <c r="AJ202" s="41">
        <f t="shared" si="74"/>
        <v>60.19</v>
      </c>
      <c r="AK202" s="42">
        <f t="shared" si="75"/>
        <v>193.35999999999999</v>
      </c>
      <c r="AL202" s="43">
        <f t="shared" ca="1" si="76"/>
        <v>179.82479999999998</v>
      </c>
      <c r="AM202" s="43">
        <f t="shared" ca="1" si="77"/>
        <v>116.01599999999999</v>
      </c>
      <c r="AN202" s="43">
        <f t="shared" ca="1" si="78"/>
        <v>119.63479999999998</v>
      </c>
      <c r="AO202" s="44" t="str">
        <f t="shared" ca="1" si="79"/>
        <v>R$ 29,91 x 4 Parcelas</v>
      </c>
    </row>
    <row r="203" spans="1:41" x14ac:dyDescent="0.3">
      <c r="A203" t="s">
        <v>433</v>
      </c>
      <c r="B203" t="s">
        <v>434</v>
      </c>
      <c r="C203" t="s">
        <v>435</v>
      </c>
      <c r="D203" t="s">
        <v>21</v>
      </c>
      <c r="E203" t="s">
        <v>432</v>
      </c>
      <c r="F203" t="s">
        <v>436</v>
      </c>
      <c r="G203" s="1">
        <v>31</v>
      </c>
      <c r="H203" t="s">
        <v>437</v>
      </c>
      <c r="I203" t="s">
        <v>29</v>
      </c>
      <c r="J203" t="s">
        <v>438</v>
      </c>
      <c r="K203" t="s">
        <v>21</v>
      </c>
      <c r="L203" t="s">
        <v>48</v>
      </c>
      <c r="M203" s="1">
        <v>8</v>
      </c>
      <c r="N203" s="4">
        <v>45636</v>
      </c>
      <c r="O203" s="2">
        <v>113.17</v>
      </c>
      <c r="P203" s="2">
        <v>51.15</v>
      </c>
      <c r="Q203" s="2">
        <v>2.2599999999999998</v>
      </c>
      <c r="R203" s="2">
        <f t="shared" si="80"/>
        <v>164.32</v>
      </c>
      <c r="S203" t="s">
        <v>356</v>
      </c>
      <c r="T203" t="s">
        <v>387</v>
      </c>
      <c r="U203" s="5">
        <f t="shared" ca="1" si="63"/>
        <v>454</v>
      </c>
      <c r="V203" s="37">
        <f t="shared" ca="1" si="62"/>
        <v>51.15</v>
      </c>
      <c r="W203" s="38">
        <f t="shared" ca="1" si="64"/>
        <v>164.32</v>
      </c>
      <c r="X203" s="38">
        <f t="shared" ca="1" si="65"/>
        <v>164.32</v>
      </c>
      <c r="Y203" s="39">
        <f t="shared" ca="1" si="61"/>
        <v>0</v>
      </c>
      <c r="Z203" s="39">
        <f t="shared" ca="1" si="66"/>
        <v>164.32</v>
      </c>
      <c r="AA203" s="40" t="str">
        <f t="shared" ca="1" si="67"/>
        <v>R$ 164,32 x 1 Parcelas</v>
      </c>
      <c r="AC203" s="17">
        <f t="shared" si="68"/>
        <v>51.15</v>
      </c>
      <c r="AD203" s="17">
        <f t="shared" si="69"/>
        <v>164.32</v>
      </c>
      <c r="AE203" s="17">
        <f t="shared" ca="1" si="70"/>
        <v>144.60159999999999</v>
      </c>
      <c r="AF203" s="17">
        <f t="shared" ca="1" si="71"/>
        <v>115.02399999999999</v>
      </c>
      <c r="AG203" s="17">
        <f t="shared" ca="1" si="72"/>
        <v>49.296000000000006</v>
      </c>
      <c r="AH203" s="15" t="str">
        <f t="shared" ca="1" si="73"/>
        <v>R$ 12,32 x 4 Parcelas</v>
      </c>
      <c r="AJ203" s="41">
        <f t="shared" si="74"/>
        <v>51.15</v>
      </c>
      <c r="AK203" s="42">
        <f t="shared" si="75"/>
        <v>164.32</v>
      </c>
      <c r="AL203" s="43">
        <f t="shared" ca="1" si="76"/>
        <v>152.81759999999997</v>
      </c>
      <c r="AM203" s="43">
        <f t="shared" ca="1" si="77"/>
        <v>98.591999999999999</v>
      </c>
      <c r="AN203" s="43">
        <f t="shared" ca="1" si="78"/>
        <v>101.66759999999996</v>
      </c>
      <c r="AO203" s="44" t="str">
        <f t="shared" ca="1" si="79"/>
        <v>R$ 25,42 x 4 Parcelas</v>
      </c>
    </row>
    <row r="204" spans="1:41" x14ac:dyDescent="0.3">
      <c r="A204" t="s">
        <v>446</v>
      </c>
      <c r="B204" t="s">
        <v>447</v>
      </c>
      <c r="C204" t="s">
        <v>448</v>
      </c>
      <c r="D204" t="s">
        <v>21</v>
      </c>
      <c r="E204" t="s">
        <v>445</v>
      </c>
      <c r="F204" t="s">
        <v>449</v>
      </c>
      <c r="G204" s="1">
        <v>5723</v>
      </c>
      <c r="H204" t="s">
        <v>210</v>
      </c>
      <c r="I204" t="s">
        <v>29</v>
      </c>
      <c r="J204" t="s">
        <v>450</v>
      </c>
      <c r="K204" t="s">
        <v>21</v>
      </c>
      <c r="L204" t="s">
        <v>48</v>
      </c>
      <c r="M204" s="1">
        <v>5</v>
      </c>
      <c r="N204" s="4">
        <v>45636</v>
      </c>
      <c r="O204" s="2">
        <v>295.83</v>
      </c>
      <c r="P204" s="2">
        <v>133.72</v>
      </c>
      <c r="Q204" s="2">
        <v>5.92</v>
      </c>
      <c r="R204" s="2">
        <f t="shared" si="80"/>
        <v>429.54999999999995</v>
      </c>
      <c r="S204" t="s">
        <v>356</v>
      </c>
      <c r="T204" t="s">
        <v>0</v>
      </c>
      <c r="U204" s="5">
        <f t="shared" ca="1" si="63"/>
        <v>454</v>
      </c>
      <c r="V204" s="37">
        <f t="shared" ca="1" si="62"/>
        <v>133.72</v>
      </c>
      <c r="W204" s="38">
        <f t="shared" ca="1" si="64"/>
        <v>429.54999999999995</v>
      </c>
      <c r="X204" s="38">
        <f t="shared" ca="1" si="65"/>
        <v>429.54999999999995</v>
      </c>
      <c r="Y204" s="39">
        <f t="shared" ca="1" si="61"/>
        <v>0</v>
      </c>
      <c r="Z204" s="39">
        <f t="shared" ca="1" si="66"/>
        <v>429.54999999999995</v>
      </c>
      <c r="AA204" s="40" t="str">
        <f t="shared" ca="1" si="67"/>
        <v>R$ 429,55 x 1 Parcelas</v>
      </c>
      <c r="AC204" s="17">
        <f t="shared" si="68"/>
        <v>133.72</v>
      </c>
      <c r="AD204" s="17">
        <f t="shared" si="69"/>
        <v>429.54999999999995</v>
      </c>
      <c r="AE204" s="17">
        <f t="shared" ca="1" si="70"/>
        <v>378.00399999999996</v>
      </c>
      <c r="AF204" s="17">
        <f t="shared" ca="1" si="71"/>
        <v>300.68499999999995</v>
      </c>
      <c r="AG204" s="17">
        <f t="shared" ca="1" si="72"/>
        <v>128.86500000000001</v>
      </c>
      <c r="AH204" s="15" t="str">
        <f t="shared" ca="1" si="73"/>
        <v>R$ 32,22 x 4 Parcelas</v>
      </c>
      <c r="AJ204" s="41">
        <f t="shared" si="74"/>
        <v>133.72</v>
      </c>
      <c r="AK204" s="42">
        <f t="shared" si="75"/>
        <v>429.54999999999995</v>
      </c>
      <c r="AL204" s="43">
        <f t="shared" ca="1" si="76"/>
        <v>399.48149999999993</v>
      </c>
      <c r="AM204" s="43">
        <f t="shared" ca="1" si="77"/>
        <v>257.72999999999996</v>
      </c>
      <c r="AN204" s="43">
        <f t="shared" ca="1" si="78"/>
        <v>265.76149999999996</v>
      </c>
      <c r="AO204" s="44" t="str">
        <f t="shared" ca="1" si="79"/>
        <v>R$ 66,44 x 4 Parcelas</v>
      </c>
    </row>
    <row r="205" spans="1:41" x14ac:dyDescent="0.3">
      <c r="A205" t="s">
        <v>380</v>
      </c>
      <c r="B205" t="s">
        <v>381</v>
      </c>
      <c r="C205" t="s">
        <v>382</v>
      </c>
      <c r="D205" t="s">
        <v>21</v>
      </c>
      <c r="E205" t="s">
        <v>383</v>
      </c>
      <c r="F205" t="s">
        <v>384</v>
      </c>
      <c r="G205" s="1">
        <v>595</v>
      </c>
      <c r="H205" t="s">
        <v>305</v>
      </c>
      <c r="I205" t="s">
        <v>29</v>
      </c>
      <c r="J205" t="s">
        <v>385</v>
      </c>
      <c r="K205" t="s">
        <v>386</v>
      </c>
      <c r="L205" t="s">
        <v>48</v>
      </c>
      <c r="M205" s="1">
        <v>8</v>
      </c>
      <c r="N205" s="4">
        <v>45641</v>
      </c>
      <c r="O205" s="2">
        <v>113.17</v>
      </c>
      <c r="P205" s="2">
        <v>50.47</v>
      </c>
      <c r="Q205" s="2">
        <v>2.2599999999999998</v>
      </c>
      <c r="R205" s="2">
        <f t="shared" si="80"/>
        <v>163.63999999999999</v>
      </c>
      <c r="S205" t="s">
        <v>356</v>
      </c>
      <c r="T205" t="s">
        <v>387</v>
      </c>
      <c r="U205" s="5">
        <f t="shared" ca="1" si="63"/>
        <v>449</v>
      </c>
      <c r="V205" s="37">
        <f t="shared" ca="1" si="62"/>
        <v>50.47</v>
      </c>
      <c r="W205" s="38">
        <f t="shared" ca="1" si="64"/>
        <v>163.63999999999999</v>
      </c>
      <c r="X205" s="38">
        <f t="shared" ca="1" si="65"/>
        <v>163.63999999999999</v>
      </c>
      <c r="Y205" s="39">
        <f t="shared" ca="1" si="61"/>
        <v>0</v>
      </c>
      <c r="Z205" s="39">
        <f t="shared" ca="1" si="66"/>
        <v>163.63999999999999</v>
      </c>
      <c r="AA205" s="40" t="str">
        <f t="shared" ca="1" si="67"/>
        <v>R$ 163,64 x 1 Parcelas</v>
      </c>
      <c r="AC205" s="17">
        <f t="shared" si="68"/>
        <v>50.47</v>
      </c>
      <c r="AD205" s="17">
        <f t="shared" si="69"/>
        <v>163.63999999999999</v>
      </c>
      <c r="AE205" s="17">
        <f t="shared" ca="1" si="70"/>
        <v>144.00319999999999</v>
      </c>
      <c r="AF205" s="17">
        <f t="shared" ca="1" si="71"/>
        <v>114.54799999999999</v>
      </c>
      <c r="AG205" s="17">
        <f t="shared" ca="1" si="72"/>
        <v>49.091999999999999</v>
      </c>
      <c r="AH205" s="15" t="str">
        <f t="shared" ca="1" si="73"/>
        <v>R$ 12,27 x 4 Parcelas</v>
      </c>
      <c r="AJ205" s="41">
        <f t="shared" si="74"/>
        <v>50.47</v>
      </c>
      <c r="AK205" s="42">
        <f t="shared" si="75"/>
        <v>163.63999999999999</v>
      </c>
      <c r="AL205" s="43">
        <f t="shared" ca="1" si="76"/>
        <v>152.18519999999998</v>
      </c>
      <c r="AM205" s="43">
        <f t="shared" ca="1" si="77"/>
        <v>98.183999999999983</v>
      </c>
      <c r="AN205" s="43">
        <f t="shared" ca="1" si="78"/>
        <v>101.71519999999998</v>
      </c>
      <c r="AO205" s="44" t="str">
        <f t="shared" ca="1" si="79"/>
        <v>R$ 25,43 x 4 Parcelas</v>
      </c>
    </row>
    <row r="206" spans="1:41" x14ac:dyDescent="0.3">
      <c r="A206" t="s">
        <v>380</v>
      </c>
      <c r="B206" t="s">
        <v>381</v>
      </c>
      <c r="C206" t="s">
        <v>382</v>
      </c>
      <c r="D206" t="s">
        <v>21</v>
      </c>
      <c r="E206" t="s">
        <v>383</v>
      </c>
      <c r="F206" t="s">
        <v>384</v>
      </c>
      <c r="G206" s="1">
        <v>595</v>
      </c>
      <c r="H206" t="s">
        <v>305</v>
      </c>
      <c r="I206" t="s">
        <v>29</v>
      </c>
      <c r="J206" t="s">
        <v>385</v>
      </c>
      <c r="K206" t="s">
        <v>386</v>
      </c>
      <c r="L206" t="s">
        <v>48</v>
      </c>
      <c r="M206" s="1">
        <v>8</v>
      </c>
      <c r="N206" s="4">
        <v>45641</v>
      </c>
      <c r="O206" s="2">
        <v>113.17</v>
      </c>
      <c r="P206" s="2">
        <v>50.47</v>
      </c>
      <c r="Q206" s="2">
        <v>2.2599999999999998</v>
      </c>
      <c r="R206" s="2">
        <f t="shared" si="80"/>
        <v>163.63999999999999</v>
      </c>
      <c r="S206" t="s">
        <v>356</v>
      </c>
      <c r="T206" t="s">
        <v>387</v>
      </c>
      <c r="U206" s="5">
        <f t="shared" ca="1" si="63"/>
        <v>449</v>
      </c>
      <c r="V206" s="37">
        <f t="shared" ca="1" si="62"/>
        <v>50.47</v>
      </c>
      <c r="W206" s="38">
        <f t="shared" ca="1" si="64"/>
        <v>163.63999999999999</v>
      </c>
      <c r="X206" s="38">
        <f t="shared" ca="1" si="65"/>
        <v>163.63999999999999</v>
      </c>
      <c r="Y206" s="39">
        <f t="shared" ca="1" si="61"/>
        <v>0</v>
      </c>
      <c r="Z206" s="39">
        <f t="shared" ca="1" si="66"/>
        <v>163.63999999999999</v>
      </c>
      <c r="AA206" s="40" t="str">
        <f t="shared" ca="1" si="67"/>
        <v>R$ 163,64 x 1 Parcelas</v>
      </c>
      <c r="AC206" s="17">
        <f t="shared" si="68"/>
        <v>50.47</v>
      </c>
      <c r="AD206" s="17">
        <f t="shared" si="69"/>
        <v>163.63999999999999</v>
      </c>
      <c r="AE206" s="17">
        <f t="shared" ca="1" si="70"/>
        <v>144.00319999999999</v>
      </c>
      <c r="AF206" s="17">
        <f t="shared" ca="1" si="71"/>
        <v>114.54799999999999</v>
      </c>
      <c r="AG206" s="17">
        <f t="shared" ca="1" si="72"/>
        <v>49.091999999999999</v>
      </c>
      <c r="AH206" s="15" t="str">
        <f t="shared" ca="1" si="73"/>
        <v>R$ 12,27 x 4 Parcelas</v>
      </c>
      <c r="AJ206" s="41">
        <f t="shared" si="74"/>
        <v>50.47</v>
      </c>
      <c r="AK206" s="42">
        <f t="shared" si="75"/>
        <v>163.63999999999999</v>
      </c>
      <c r="AL206" s="43">
        <f t="shared" ca="1" si="76"/>
        <v>152.18519999999998</v>
      </c>
      <c r="AM206" s="43">
        <f t="shared" ca="1" si="77"/>
        <v>98.183999999999983</v>
      </c>
      <c r="AN206" s="43">
        <f t="shared" ca="1" si="78"/>
        <v>101.71519999999998</v>
      </c>
      <c r="AO206" s="44" t="str">
        <f t="shared" ca="1" si="79"/>
        <v>R$ 25,43 x 4 Parcelas</v>
      </c>
    </row>
    <row r="207" spans="1:41" x14ac:dyDescent="0.3">
      <c r="A207" t="s">
        <v>452</v>
      </c>
      <c r="B207" t="s">
        <v>453</v>
      </c>
      <c r="C207" t="s">
        <v>454</v>
      </c>
      <c r="D207" t="s">
        <v>21</v>
      </c>
      <c r="E207" t="s">
        <v>451</v>
      </c>
      <c r="F207" t="s">
        <v>455</v>
      </c>
      <c r="G207" s="1">
        <v>265</v>
      </c>
      <c r="H207" t="s">
        <v>456</v>
      </c>
      <c r="I207" t="s">
        <v>29</v>
      </c>
      <c r="J207" t="s">
        <v>457</v>
      </c>
      <c r="K207" t="s">
        <v>21</v>
      </c>
      <c r="L207" t="s">
        <v>48</v>
      </c>
      <c r="M207" s="1">
        <v>8</v>
      </c>
      <c r="N207" s="4">
        <v>45641</v>
      </c>
      <c r="O207" s="2">
        <v>122.01</v>
      </c>
      <c r="P207" s="2">
        <v>18.14</v>
      </c>
      <c r="Q207" s="2">
        <v>2.44</v>
      </c>
      <c r="R207" s="2">
        <f t="shared" si="80"/>
        <v>140.15</v>
      </c>
      <c r="S207" t="s">
        <v>356</v>
      </c>
      <c r="T207" t="s">
        <v>387</v>
      </c>
      <c r="U207" s="5">
        <f t="shared" ca="1" si="63"/>
        <v>449</v>
      </c>
      <c r="V207" s="37">
        <f t="shared" ca="1" si="62"/>
        <v>18.14</v>
      </c>
      <c r="W207" s="38">
        <f t="shared" ca="1" si="64"/>
        <v>140.15</v>
      </c>
      <c r="X207" s="38">
        <f t="shared" ca="1" si="65"/>
        <v>140.15</v>
      </c>
      <c r="Y207" s="39">
        <f t="shared" ca="1" si="61"/>
        <v>0</v>
      </c>
      <c r="Z207" s="39">
        <f t="shared" ca="1" si="66"/>
        <v>140.15</v>
      </c>
      <c r="AA207" s="40" t="str">
        <f t="shared" ca="1" si="67"/>
        <v>R$ 140,15 x 1 Parcelas</v>
      </c>
      <c r="AC207" s="17">
        <f t="shared" si="68"/>
        <v>18.14</v>
      </c>
      <c r="AD207" s="17">
        <f t="shared" si="69"/>
        <v>140.15</v>
      </c>
      <c r="AE207" s="17">
        <f t="shared" ca="1" si="70"/>
        <v>123.33200000000001</v>
      </c>
      <c r="AF207" s="17">
        <f t="shared" ca="1" si="71"/>
        <v>98.105000000000004</v>
      </c>
      <c r="AG207" s="17">
        <f t="shared" ca="1" si="72"/>
        <v>42.045000000000002</v>
      </c>
      <c r="AH207" s="15" t="str">
        <f t="shared" ca="1" si="73"/>
        <v>R$ 10,51 x 4 Parcelas</v>
      </c>
      <c r="AJ207" s="41">
        <f t="shared" si="74"/>
        <v>18.14</v>
      </c>
      <c r="AK207" s="42">
        <f t="shared" si="75"/>
        <v>140.15</v>
      </c>
      <c r="AL207" s="43">
        <f t="shared" ca="1" si="76"/>
        <v>130.33949999999999</v>
      </c>
      <c r="AM207" s="43">
        <f t="shared" ca="1" si="77"/>
        <v>84.09</v>
      </c>
      <c r="AN207" s="43">
        <f t="shared" ca="1" si="78"/>
        <v>112.19949999999999</v>
      </c>
      <c r="AO207" s="44" t="str">
        <f t="shared" ca="1" si="79"/>
        <v>R$ 28,05 x 4 Parcelas</v>
      </c>
    </row>
  </sheetData>
  <autoFilter ref="A2:T32" xr:uid="{00000000-0001-0000-0000-000000000000}"/>
  <mergeCells count="6">
    <mergeCell ref="AQ2:AU2"/>
    <mergeCell ref="AW2:BA2"/>
    <mergeCell ref="BC2:BG2"/>
    <mergeCell ref="V1:AA1"/>
    <mergeCell ref="AC1:AH1"/>
    <mergeCell ref="AJ1:AO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Relatório de Inadimplentes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Moyses Neva</dc:creator>
  <cp:lastModifiedBy>Moyses Neva</cp:lastModifiedBy>
  <dcterms:created xsi:type="dcterms:W3CDTF">2026-03-08T22:30:15Z</dcterms:created>
  <dcterms:modified xsi:type="dcterms:W3CDTF">2026-03-09T19:13:08Z</dcterms:modified>
</cp:coreProperties>
</file>